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zarov\Desktop\график платежей\"/>
    </mc:Choice>
  </mc:AlternateContent>
  <xr:revisionPtr revIDLastSave="0" documentId="13_ncr:1_{C314F443-4AE7-46D2-8083-F3CB64316228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5" i="1"/>
  <c r="K25" i="1"/>
  <c r="K24" i="1" l="1"/>
  <c r="M25" i="1" s="1"/>
  <c r="H44" i="1"/>
  <c r="H45" i="1"/>
  <c r="H46" i="1"/>
  <c r="H43" i="1"/>
  <c r="H35" i="1"/>
  <c r="H36" i="1"/>
  <c r="H37" i="1"/>
  <c r="H38" i="1"/>
  <c r="H39" i="1"/>
  <c r="H40" i="1"/>
  <c r="H41" i="1"/>
  <c r="H42" i="1"/>
  <c r="K23" i="1"/>
  <c r="H34" i="1"/>
  <c r="H31" i="1"/>
  <c r="H25" i="1"/>
  <c r="H26" i="1"/>
  <c r="H27" i="1"/>
  <c r="H28" i="1"/>
  <c r="H29" i="1"/>
  <c r="H30" i="1"/>
  <c r="H32" i="1"/>
  <c r="H33" i="1"/>
  <c r="H24" i="1"/>
  <c r="H23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22" i="1"/>
  <c r="L25" i="1" l="1"/>
</calcChain>
</file>

<file path=xl/sharedStrings.xml><?xml version="1.0" encoding="utf-8"?>
<sst xmlns="http://schemas.openxmlformats.org/spreadsheetml/2006/main" count="17" uniqueCount="17">
  <si>
    <t>Сумма кредита</t>
  </si>
  <si>
    <t>Срок кредита (мес)</t>
  </si>
  <si>
    <t>Рынок, ставка после субсидии</t>
  </si>
  <si>
    <t>Рынок, срок кредита после субсидии</t>
  </si>
  <si>
    <t>Субсидия, срок (мес)</t>
  </si>
  <si>
    <t>Докуск к шагу аннуитета</t>
  </si>
  <si>
    <t>ставка на месяц</t>
  </si>
  <si>
    <t>период</t>
  </si>
  <si>
    <t>выплата основного долга</t>
  </si>
  <si>
    <t>выплата процентов</t>
  </si>
  <si>
    <t>аннуитет</t>
  </si>
  <si>
    <t>осталось основного долга</t>
  </si>
  <si>
    <t>новый срок, мес</t>
  </si>
  <si>
    <t>с какого месяца рынок</t>
  </si>
  <si>
    <t>ср 1 год</t>
  </si>
  <si>
    <t>ср 2 год</t>
  </si>
  <si>
    <t>рынок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</si>
</sst>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₽&quot;_-;\-* #,##0.00\ &quot;₽&quot;_-;_-* &quot;-&quot;??\ &quot;₽&quot;_-;_-@_-"/>
    <numFmt numFmtId="164" formatCode="0.0000"/>
    <numFmt numFmtId="165" formatCode="0.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1" xfId="0" applyBorder="1"/>
    <xf numFmtId="0" fontId="0" fillId="2" borderId="1" xfId="0" applyFill="1" applyBorder="1"/>
    <xf numFmtId="44" fontId="0" fillId="0" borderId="1" xfId="1" applyFont="1" applyBorder="1"/>
    <xf numFmtId="164" fontId="0" fillId="0" borderId="1" xfId="2" applyNumberFormat="1" applyFont="1" applyBorder="1"/>
    <xf numFmtId="4" fontId="0" fillId="0" borderId="1" xfId="0" applyNumberFormat="1" applyBorder="1"/>
    <xf numFmtId="10" fontId="0" fillId="0" borderId="0" xfId="2" applyNumberFormat="1" applyFont="1"/>
    <xf numFmtId="10" fontId="0" fillId="0" borderId="1" xfId="2" applyNumberFormat="1" applyFont="1" applyBorder="1"/>
    <xf numFmtId="165" fontId="0" fillId="0" borderId="1" xfId="2" applyNumberFormat="1" applyFont="1" applyBorder="1"/>
    <xf numFmtId="165" fontId="0" fillId="3" borderId="1" xfId="0" applyNumberFormat="1" applyFill="1" applyBorder="1"/>
    <xf numFmtId="0" fontId="0" fillId="3" borderId="1" xfId="0" applyFill="1" applyBorder="1"/>
    <xf numFmtId="4" fontId="0" fillId="3" borderId="1" xfId="0" applyNumberFormat="1" applyFill="1" applyBorder="1"/>
    <xf numFmtId="165" fontId="0" fillId="4" borderId="1" xfId="2" applyNumberFormat="1" applyFont="1" applyFill="1" applyBorder="1"/>
    <xf numFmtId="0" fontId="0" fillId="4" borderId="1" xfId="0" applyFill="1" applyBorder="1"/>
    <xf numFmtId="4" fontId="0" fillId="4" borderId="1" xfId="0" applyNumberFormat="1" applyFill="1" applyBorder="1"/>
    <xf numFmtId="44" fontId="0" fillId="0" borderId="0" xfId="1" applyFont="1"/>
    <xf numFmtId="9" fontId="0" fillId="0" borderId="0" xfId="2" applyFont="1"/>
    <xf numFmtId="10" fontId="0" fillId="4" borderId="0" xfId="2" applyNumberFormat="1" applyFont="1" applyFill="1"/>
    <xf numFmtId="10" fontId="0" fillId="3" borderId="0" xfId="2" applyNumberFormat="1" applyFont="1" applyFill="1"/>
  </cellXfs>
  <cellStyles count="3">
    <cellStyle name="Денежный" xfId="1" builtinId="4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1</xdr:row>
          <xdr:rowOff>158750</xdr:rowOff>
        </xdr:from>
        <xdr:to>
          <xdr:col>6</xdr:col>
          <xdr:colOff>1009650</xdr:colOff>
          <xdr:row>9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Изменить расчеты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M381"/>
  <sheetViews>
    <sheetView tabSelected="1" workbookViewId="0">
      <selection activeCell="E11" sqref="E11"/>
    </sheetView>
  </sheetViews>
  <sheetFormatPr defaultRowHeight="14.5" x14ac:dyDescent="0.35"/>
  <cols>
    <col min="1" max="1" width="32.81640625" bestFit="1" customWidth="1"/>
    <col min="2" max="2" width="15" bestFit="1" customWidth="1"/>
    <col min="3" max="3" width="23.26953125" bestFit="1" customWidth="1"/>
    <col min="4" max="4" width="18" bestFit="1" customWidth="1"/>
    <col min="5" max="5" width="11.90625" customWidth="1"/>
    <col min="6" max="6" width="23.6328125" bestFit="1" customWidth="1"/>
    <col min="7" max="7" width="15" bestFit="1" customWidth="1"/>
    <col min="10" max="10" width="9.7265625" bestFit="1" customWidth="1"/>
    <col min="11" max="11" width="12.453125" bestFit="1" customWidth="1"/>
  </cols>
  <sheetData>
    <row r="2" spans="1:2" x14ac:dyDescent="0.35">
      <c r="A2" s="1" t="s">
        <v>0</v>
      </c>
      <c r="B2" s="3">
        <v>15000000</v>
      </c>
    </row>
    <row r="3" spans="1:2" x14ac:dyDescent="0.35">
      <c r="A3" s="1" t="s">
        <v>1</v>
      </c>
      <c r="B3" s="1">
        <v>240</v>
      </c>
    </row>
    <row r="4" spans="1:2" x14ac:dyDescent="0.35">
      <c r="A4" s="1" t="s">
        <v>2</v>
      </c>
      <c r="B4" s="4">
        <v>0.18990000000000001</v>
      </c>
    </row>
    <row r="5" spans="1:2" x14ac:dyDescent="0.35">
      <c r="A5" s="1" t="s">
        <v>3</v>
      </c>
      <c r="B5" s="1">
        <f>B3-B6</f>
        <v>216</v>
      </c>
    </row>
    <row r="6" spans="1:2" x14ac:dyDescent="0.35">
      <c r="A6" s="1" t="s">
        <v>4</v>
      </c>
      <c r="B6" s="1">
        <v>24</v>
      </c>
    </row>
    <row r="7" spans="1:2" x14ac:dyDescent="0.35">
      <c r="A7" s="1" t="s">
        <v>5</v>
      </c>
      <c r="B7" s="4">
        <v>0.18</v>
      </c>
    </row>
    <row r="8" spans="1:2" x14ac:dyDescent="0.35">
      <c r="A8" s="1" t="s">
        <v>13</v>
      </c>
      <c r="B8" s="1">
        <f>B6+1</f>
        <v>25</v>
      </c>
    </row>
    <row r="21" spans="1:13" x14ac:dyDescent="0.35">
      <c r="A21" s="2" t="s">
        <v>6</v>
      </c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</row>
    <row r="22" spans="1:13" x14ac:dyDescent="0.35">
      <c r="A22" s="9">
        <v>9.678204625424966E-2</v>
      </c>
      <c r="B22" s="10">
        <v>1</v>
      </c>
      <c r="C22" s="11">
        <v>20592.277483183105</v>
      </c>
      <c r="D22" s="11">
        <v>120977.55781781208</v>
      </c>
      <c r="E22" s="11">
        <v>141569.83530099518</v>
      </c>
      <c r="F22" s="11">
        <v>-14979407.722516816</v>
      </c>
      <c r="G22" s="10">
        <f>IF(B22&gt;=$B$3,0,$B$3-B22)</f>
        <v>239</v>
      </c>
    </row>
    <row r="23" spans="1:13" x14ac:dyDescent="0.35">
      <c r="A23" s="9">
        <v>0.12186479302626876</v>
      </c>
      <c r="B23" s="10">
        <v>2</v>
      </c>
      <c r="C23" s="11">
        <v>14930.537175123987</v>
      </c>
      <c r="D23" s="11">
        <v>152121.86848005033</v>
      </c>
      <c r="E23" s="11">
        <v>167052.40565517431</v>
      </c>
      <c r="F23" s="11">
        <v>-14964477.185341692</v>
      </c>
      <c r="G23" s="10">
        <f t="shared" ref="G23:G86" si="0">IF(B23&gt;=$B$3,0,$B$3-B23)</f>
        <v>238</v>
      </c>
      <c r="H23" s="18">
        <f>E23/E22-1</f>
        <v>0.17999999999999994</v>
      </c>
      <c r="J23" t="s">
        <v>14</v>
      </c>
      <c r="K23" s="15">
        <f>AVERAGE(E22:E33)</f>
        <v>204912.8491558767</v>
      </c>
    </row>
    <row r="24" spans="1:13" x14ac:dyDescent="0.35">
      <c r="A24" s="9">
        <v>0.1360321304687942</v>
      </c>
      <c r="B24" s="10">
        <v>3</v>
      </c>
      <c r="C24" s="11">
        <v>12449.646091332019</v>
      </c>
      <c r="D24" s="11">
        <v>169637.47607280794</v>
      </c>
      <c r="E24" s="11">
        <v>182087.12216413996</v>
      </c>
      <c r="F24" s="11">
        <v>-14952027.539250359</v>
      </c>
      <c r="G24" s="10">
        <f t="shared" si="0"/>
        <v>237</v>
      </c>
      <c r="H24" s="18">
        <f>(E24/(AVERAGE($E$22:E23))-1)</f>
        <v>0.17999999999999972</v>
      </c>
      <c r="J24" t="s">
        <v>15</v>
      </c>
      <c r="K24" s="15">
        <f>AVERAGE(E34:E45)</f>
        <v>223355.00557990573</v>
      </c>
    </row>
    <row r="25" spans="1:13" x14ac:dyDescent="0.35">
      <c r="A25" s="9">
        <v>0.14610626977408431</v>
      </c>
      <c r="B25" s="10">
        <v>4</v>
      </c>
      <c r="C25" s="11">
        <v>10963.602050717513</v>
      </c>
      <c r="D25" s="11">
        <v>182048.7474432709</v>
      </c>
      <c r="E25" s="11">
        <v>193012.34949398841</v>
      </c>
      <c r="F25" s="11">
        <v>-14941063.937199641</v>
      </c>
      <c r="G25" s="10">
        <f t="shared" si="0"/>
        <v>236</v>
      </c>
      <c r="H25" s="18">
        <f>(E25/(AVERAGE($E$22:E24))-1)</f>
        <v>0.18000000000000038</v>
      </c>
      <c r="J25" t="s">
        <v>16</v>
      </c>
      <c r="K25" s="15">
        <f>E46</f>
        <v>241797.16200393462</v>
      </c>
      <c r="L25" s="16">
        <f>(K25/K23)-1</f>
        <v>0.1800000000000006</v>
      </c>
      <c r="M25" s="16">
        <f>(K25/K24)-1</f>
        <v>8.256880733944949E-2</v>
      </c>
    </row>
    <row r="26" spans="1:13" x14ac:dyDescent="0.35">
      <c r="A26" s="9">
        <v>0.15400592261383161</v>
      </c>
      <c r="B26" s="10">
        <v>5</v>
      </c>
      <c r="C26" s="11">
        <v>9946.8771811613406</v>
      </c>
      <c r="D26" s="11">
        <v>191751.02804005652</v>
      </c>
      <c r="E26" s="11">
        <v>201697.90522121786</v>
      </c>
      <c r="F26" s="11">
        <v>-14931117.06001848</v>
      </c>
      <c r="G26" s="10">
        <f t="shared" si="0"/>
        <v>235</v>
      </c>
      <c r="H26" s="18">
        <f>(E26/(AVERAGE($E$22:E25))-1)</f>
        <v>0.17999999999999994</v>
      </c>
    </row>
    <row r="27" spans="1:13" x14ac:dyDescent="0.35">
      <c r="A27" s="9">
        <v>0.16054633585037359</v>
      </c>
      <c r="B27" s="10">
        <v>6</v>
      </c>
      <c r="C27" s="11">
        <v>9197.685297600925</v>
      </c>
      <c r="D27" s="11">
        <v>199761.3445115808</v>
      </c>
      <c r="E27" s="11">
        <v>208959.02980918172</v>
      </c>
      <c r="F27" s="11">
        <v>-14921919.374720879</v>
      </c>
      <c r="G27" s="10">
        <f t="shared" si="0"/>
        <v>234</v>
      </c>
      <c r="H27" s="18">
        <f>(E27/(AVERAGE($E$22:E26))-1)</f>
        <v>0.17999999999999994</v>
      </c>
    </row>
    <row r="28" spans="1:13" x14ac:dyDescent="0.35">
      <c r="A28" s="9">
        <v>0.16615199755995047</v>
      </c>
      <c r="B28" s="10">
        <v>7</v>
      </c>
      <c r="C28" s="11">
        <v>8618.9080752570881</v>
      </c>
      <c r="D28" s="11">
        <v>206608.89262820009</v>
      </c>
      <c r="E28" s="11">
        <v>215227.80070345718</v>
      </c>
      <c r="F28" s="11">
        <v>-14913300.466645623</v>
      </c>
      <c r="G28" s="10">
        <f t="shared" si="0"/>
        <v>233</v>
      </c>
      <c r="H28" s="18">
        <f>(E28/(AVERAGE($E$22:E27))-1)</f>
        <v>0.17999999999999994</v>
      </c>
    </row>
    <row r="29" spans="1:13" x14ac:dyDescent="0.35">
      <c r="A29" s="9">
        <v>0.17107300232380168</v>
      </c>
      <c r="B29" s="10">
        <v>8</v>
      </c>
      <c r="C29" s="11">
        <v>8156.9727489016077</v>
      </c>
      <c r="D29" s="11">
        <v>212605.25711550162</v>
      </c>
      <c r="E29" s="11">
        <v>220762.22986440323</v>
      </c>
      <c r="F29" s="11">
        <v>-14905143.493896721</v>
      </c>
      <c r="G29" s="10">
        <f t="shared" si="0"/>
        <v>232</v>
      </c>
      <c r="H29" s="18">
        <f>(E29/(AVERAGE($E$22:E28))-1)</f>
        <v>0.18000000000000016</v>
      </c>
    </row>
    <row r="30" spans="1:13" x14ac:dyDescent="0.35">
      <c r="A30" s="9">
        <v>0.17546955130330227</v>
      </c>
      <c r="B30" s="10">
        <v>9</v>
      </c>
      <c r="C30" s="11">
        <v>7779.4766209028603</v>
      </c>
      <c r="D30" s="11">
        <v>217949.9034154494</v>
      </c>
      <c r="E30" s="11">
        <v>225729.38003635226</v>
      </c>
      <c r="F30" s="11">
        <v>-14897364.017275818</v>
      </c>
      <c r="G30" s="10">
        <f t="shared" si="0"/>
        <v>231</v>
      </c>
      <c r="H30" s="18">
        <f>(E30/(AVERAGE($E$22:E29))-1)</f>
        <v>0.17999999999999994</v>
      </c>
    </row>
    <row r="31" spans="1:13" x14ac:dyDescent="0.35">
      <c r="A31" s="9">
        <v>0.17945067022315958</v>
      </c>
      <c r="B31" s="10">
        <v>10</v>
      </c>
      <c r="C31" s="11">
        <v>7465.4711822021054</v>
      </c>
      <c r="D31" s="11">
        <v>222778.49645487723</v>
      </c>
      <c r="E31" s="11">
        <v>230243.96763707933</v>
      </c>
      <c r="F31" s="11">
        <v>-14889898.546093615</v>
      </c>
      <c r="G31" s="10">
        <f t="shared" si="0"/>
        <v>230</v>
      </c>
      <c r="H31" s="18">
        <f>(E31/(AVERAGE($E$22:E30))-1)</f>
        <v>0.18000000000000016</v>
      </c>
    </row>
    <row r="32" spans="1:13" x14ac:dyDescent="0.35">
      <c r="A32" s="9">
        <v>0.18309404646952882</v>
      </c>
      <c r="B32" s="10">
        <v>11</v>
      </c>
      <c r="C32" s="11">
        <v>7200.7110274606093</v>
      </c>
      <c r="D32" s="11">
        <v>227187.64802708616</v>
      </c>
      <c r="E32" s="11">
        <v>234388.35905454677</v>
      </c>
      <c r="F32" s="11">
        <v>-14882697.835066155</v>
      </c>
      <c r="G32" s="10">
        <f t="shared" si="0"/>
        <v>229</v>
      </c>
      <c r="H32" s="18">
        <f>(E32/(AVERAGE($E$22:E31))-1)</f>
        <v>0.18000000000000038</v>
      </c>
    </row>
    <row r="33" spans="1:8" x14ac:dyDescent="0.35">
      <c r="A33" s="9">
        <v>0.186457071763803</v>
      </c>
      <c r="B33" s="10">
        <v>12</v>
      </c>
      <c r="C33" s="11">
        <v>6975.116740657686</v>
      </c>
      <c r="D33" s="11">
        <v>231248.68818932713</v>
      </c>
      <c r="E33" s="11">
        <v>238223.80492998482</v>
      </c>
      <c r="F33" s="11">
        <v>-14875722.718325498</v>
      </c>
      <c r="G33" s="10">
        <f t="shared" si="0"/>
        <v>228</v>
      </c>
      <c r="H33" s="18">
        <f>(E33/(AVERAGE($E$22:E32))-1)</f>
        <v>0.18000000000000038</v>
      </c>
    </row>
    <row r="34" spans="1:8" x14ac:dyDescent="0.35">
      <c r="A34" s="12">
        <v>0.15930150082509126</v>
      </c>
      <c r="B34" s="13">
        <v>13</v>
      </c>
      <c r="C34" s="14">
        <v>10273.024416412925</v>
      </c>
      <c r="D34" s="14">
        <v>197477.07957392983</v>
      </c>
      <c r="E34" s="14">
        <v>207750.10399034276</v>
      </c>
      <c r="F34" s="14">
        <v>-14865449.693909084</v>
      </c>
      <c r="G34" s="13">
        <f t="shared" si="0"/>
        <v>227</v>
      </c>
      <c r="H34" s="17">
        <f>(E34/(AVERAGE($E$22:E33))-1)</f>
        <v>1.3846153846154285E-2</v>
      </c>
    </row>
    <row r="35" spans="1:8" x14ac:dyDescent="0.35">
      <c r="A35" s="12">
        <v>0.16187688376233234</v>
      </c>
      <c r="B35" s="13">
        <v>14</v>
      </c>
      <c r="C35" s="14">
        <v>10056.302810165449</v>
      </c>
      <c r="D35" s="14">
        <v>200531.05601464331</v>
      </c>
      <c r="E35" s="14">
        <v>210587.35882480876</v>
      </c>
      <c r="F35" s="14">
        <v>-14855393.391098918</v>
      </c>
      <c r="G35" s="13">
        <f t="shared" si="0"/>
        <v>226</v>
      </c>
      <c r="H35" s="17">
        <f>(E35/(AVERAGE($E$22:E34))-1)</f>
        <v>2.6598888757536798E-2</v>
      </c>
    </row>
    <row r="36" spans="1:8" x14ac:dyDescent="0.35">
      <c r="A36" s="12">
        <v>0.16444694432677587</v>
      </c>
      <c r="B36" s="13">
        <v>15</v>
      </c>
      <c r="C36" s="14">
        <v>9847.6094977415632</v>
      </c>
      <c r="D36" s="14">
        <v>203577.00416153317</v>
      </c>
      <c r="E36" s="14">
        <v>213424.61365927474</v>
      </c>
      <c r="F36" s="14">
        <v>-14845545.781601178</v>
      </c>
      <c r="G36" s="13">
        <f t="shared" si="0"/>
        <v>225</v>
      </c>
      <c r="H36" s="17">
        <f>(E36/(AVERAGE($E$22:E35))-1)</f>
        <v>3.8457324422044747E-2</v>
      </c>
    </row>
    <row r="37" spans="1:8" x14ac:dyDescent="0.35">
      <c r="A37" s="12">
        <v>0.16701190833935053</v>
      </c>
      <c r="B37" s="13">
        <v>16</v>
      </c>
      <c r="C37" s="14">
        <v>9646.6242167067539</v>
      </c>
      <c r="D37" s="14">
        <v>206615.24427703398</v>
      </c>
      <c r="E37" s="14">
        <v>216261.86849374074</v>
      </c>
      <c r="F37" s="14">
        <v>-14835899.15738447</v>
      </c>
      <c r="G37" s="13">
        <f t="shared" si="0"/>
        <v>224</v>
      </c>
      <c r="H37" s="17">
        <f>(E37/(AVERAGE($E$22:E36))-1)</f>
        <v>4.9571603427172928E-2</v>
      </c>
    </row>
    <row r="38" spans="1:8" x14ac:dyDescent="0.35">
      <c r="A38" s="12">
        <v>0.16957199173709886</v>
      </c>
      <c r="B38" s="13">
        <v>17</v>
      </c>
      <c r="C38" s="14">
        <v>9453.0425508374465</v>
      </c>
      <c r="D38" s="14">
        <v>209646.08077736926</v>
      </c>
      <c r="E38" s="14">
        <v>219099.12332820671</v>
      </c>
      <c r="F38" s="14">
        <v>-14826446.114833632</v>
      </c>
      <c r="G38" s="13">
        <f t="shared" si="0"/>
        <v>223</v>
      </c>
      <c r="H38" s="17">
        <f>(E38/(AVERAGE($E$22:E37))-1)</f>
        <v>6.0057197330791512E-2</v>
      </c>
    </row>
    <row r="39" spans="1:8" x14ac:dyDescent="0.35">
      <c r="A39" s="12">
        <v>0.17212740110512892</v>
      </c>
      <c r="B39" s="13">
        <v>18</v>
      </c>
      <c r="C39" s="14">
        <v>9266.5750483769807</v>
      </c>
      <c r="D39" s="14">
        <v>212669.80311429573</v>
      </c>
      <c r="E39" s="14">
        <v>221936.37816267271</v>
      </c>
      <c r="F39" s="14">
        <v>-14817179.539785255</v>
      </c>
      <c r="G39" s="13">
        <f t="shared" si="0"/>
        <v>222</v>
      </c>
      <c r="H39" s="17">
        <f>(E39/(AVERAGE($E$22:E38))-1)</f>
        <v>7.0004470272686969E-2</v>
      </c>
    </row>
    <row r="40" spans="1:8" x14ac:dyDescent="0.35">
      <c r="A40" s="12">
        <v>0.1746783341753359</v>
      </c>
      <c r="B40" s="13">
        <v>19</v>
      </c>
      <c r="C40" s="14">
        <v>9086.9463982588204</v>
      </c>
      <c r="D40" s="14">
        <v>215686.68659887987</v>
      </c>
      <c r="E40" s="14">
        <v>224773.63299713869</v>
      </c>
      <c r="F40" s="14">
        <v>-14808092.593386997</v>
      </c>
      <c r="G40" s="13">
        <f t="shared" si="0"/>
        <v>221</v>
      </c>
      <c r="H40" s="17">
        <f>(E40/(AVERAGE($E$22:E39))-1)</f>
        <v>7.9485238455715646E-2</v>
      </c>
    </row>
    <row r="41" spans="1:8" x14ac:dyDescent="0.35">
      <c r="A41" s="12">
        <v>0.17722498029435807</v>
      </c>
      <c r="B41" s="13">
        <v>20</v>
      </c>
      <c r="C41" s="14">
        <v>8913.8946599346818</v>
      </c>
      <c r="D41" s="14">
        <v>218696.99317167001</v>
      </c>
      <c r="E41" s="14">
        <v>227610.88783160469</v>
      </c>
      <c r="F41" s="14">
        <v>-14799178.698727062</v>
      </c>
      <c r="G41" s="13">
        <f t="shared" si="0"/>
        <v>220</v>
      </c>
      <c r="H41" s="17">
        <f>(E41/(AVERAGE($E$22:E40))-1)</f>
        <v>8.8557371845739086E-2</v>
      </c>
    </row>
    <row r="42" spans="1:8" x14ac:dyDescent="0.35">
      <c r="A42" s="12">
        <v>0.17976752086302106</v>
      </c>
      <c r="B42" s="13">
        <v>21</v>
      </c>
      <c r="C42" s="14">
        <v>8747.1705428211717</v>
      </c>
      <c r="D42" s="14">
        <v>221700.97212324949</v>
      </c>
      <c r="E42" s="14">
        <v>230448.14266607066</v>
      </c>
      <c r="F42" s="14">
        <v>-14790431.528184241</v>
      </c>
      <c r="G42" s="13">
        <f t="shared" si="0"/>
        <v>219</v>
      </c>
      <c r="H42" s="17">
        <f>(E42/(AVERAGE($E$22:E41))-1)</f>
        <v>9.726808766136319E-2</v>
      </c>
    </row>
    <row r="43" spans="1:8" x14ac:dyDescent="0.35">
      <c r="A43" s="12">
        <v>0.18230612974932031</v>
      </c>
      <c r="B43" s="13">
        <v>22</v>
      </c>
      <c r="C43" s="14">
        <v>8586.5367317371711</v>
      </c>
      <c r="D43" s="14">
        <v>224698.8607687995</v>
      </c>
      <c r="E43" s="14">
        <v>233285.39750053667</v>
      </c>
      <c r="F43" s="14">
        <v>-14781844.991452504</v>
      </c>
      <c r="G43" s="13">
        <f t="shared" si="0"/>
        <v>218</v>
      </c>
      <c r="H43" s="17">
        <f>(E43/(AVERAGE($E$22:E42))-1)</f>
        <v>0.10565635005336205</v>
      </c>
    </row>
    <row r="44" spans="1:8" x14ac:dyDescent="0.35">
      <c r="A44" s="12">
        <v>0.18484097367683627</v>
      </c>
      <c r="B44" s="13">
        <v>23</v>
      </c>
      <c r="C44" s="14">
        <v>8431.7672549904382</v>
      </c>
      <c r="D44" s="14">
        <v>227690.8850800122</v>
      </c>
      <c r="E44" s="14">
        <v>236122.65233500264</v>
      </c>
      <c r="F44" s="14">
        <v>-14773413.224197514</v>
      </c>
      <c r="G44" s="13">
        <f t="shared" si="0"/>
        <v>217</v>
      </c>
      <c r="H44" s="17">
        <f>(E44/(AVERAGE($E$22:E43))-1)</f>
        <v>0.11375464684014891</v>
      </c>
    </row>
    <row r="45" spans="1:8" x14ac:dyDescent="0.35">
      <c r="A45" s="12">
        <v>0.18737221259031428</v>
      </c>
      <c r="B45" s="13">
        <v>24</v>
      </c>
      <c r="C45" s="14">
        <v>8282.6468920605548</v>
      </c>
      <c r="D45" s="14">
        <v>230677.26027740809</v>
      </c>
      <c r="E45" s="14">
        <v>238959.90716946864</v>
      </c>
      <c r="F45" s="14">
        <v>-14765130.577305453</v>
      </c>
      <c r="G45" s="13">
        <f t="shared" si="0"/>
        <v>216</v>
      </c>
      <c r="H45" s="17">
        <f>(E45/(AVERAGE($E$22:E44))-1)</f>
        <v>0.12159032424086491</v>
      </c>
    </row>
    <row r="46" spans="1:8" x14ac:dyDescent="0.35">
      <c r="A46" s="8">
        <v>0.18990000000000001</v>
      </c>
      <c r="B46" s="1">
        <v>25</v>
      </c>
      <c r="C46" s="5">
        <v>8138.9706180758076</v>
      </c>
      <c r="D46" s="5">
        <v>233658.19138585881</v>
      </c>
      <c r="E46" s="5">
        <v>241797.16200393462</v>
      </c>
      <c r="F46" s="5">
        <v>-14756991.606687376</v>
      </c>
      <c r="G46" s="1">
        <f t="shared" si="0"/>
        <v>215</v>
      </c>
      <c r="H46" s="6">
        <f>E46/AVERAGE(E22:E33)-1</f>
        <v>0.1800000000000006</v>
      </c>
    </row>
    <row r="47" spans="1:8" x14ac:dyDescent="0.35">
      <c r="A47" s="8">
        <v>0.18990000000000001</v>
      </c>
      <c r="B47" s="1">
        <v>26</v>
      </c>
      <c r="C47" s="5">
        <v>8267.7698281068588</v>
      </c>
      <c r="D47" s="5">
        <v>233529.39217582776</v>
      </c>
      <c r="E47" s="5">
        <v>241797.16200393462</v>
      </c>
      <c r="F47" s="5">
        <v>-14748723.836859269</v>
      </c>
      <c r="G47" s="1">
        <f t="shared" si="0"/>
        <v>214</v>
      </c>
      <c r="H47" s="6"/>
    </row>
    <row r="48" spans="1:8" x14ac:dyDescent="0.35">
      <c r="A48" s="8">
        <v>0.18990000000000001</v>
      </c>
      <c r="B48" s="1">
        <v>27</v>
      </c>
      <c r="C48" s="5">
        <v>8398.6072856366809</v>
      </c>
      <c r="D48" s="5">
        <v>233398.55471829794</v>
      </c>
      <c r="E48" s="5">
        <v>241797.16200393462</v>
      </c>
      <c r="F48" s="5">
        <v>-14740325.229573632</v>
      </c>
      <c r="G48" s="1">
        <f t="shared" si="0"/>
        <v>213</v>
      </c>
      <c r="H48" s="6"/>
    </row>
    <row r="49" spans="1:8" x14ac:dyDescent="0.35">
      <c r="A49" s="8">
        <v>0.18990000000000001</v>
      </c>
      <c r="B49" s="1">
        <v>28</v>
      </c>
      <c r="C49" s="5">
        <v>8531.5152459318924</v>
      </c>
      <c r="D49" s="5">
        <v>233265.64675800272</v>
      </c>
      <c r="E49" s="5">
        <v>241797.16200393462</v>
      </c>
      <c r="F49" s="5">
        <v>-14731793.7143277</v>
      </c>
      <c r="G49" s="1">
        <f t="shared" si="0"/>
        <v>212</v>
      </c>
      <c r="H49" s="6"/>
    </row>
    <row r="50" spans="1:8" x14ac:dyDescent="0.35">
      <c r="A50" s="8">
        <v>0.18990000000000001</v>
      </c>
      <c r="B50" s="1">
        <v>29</v>
      </c>
      <c r="C50" s="5">
        <v>8666.5264746987377</v>
      </c>
      <c r="D50" s="5">
        <v>233130.63552923588</v>
      </c>
      <c r="E50" s="5">
        <v>241797.16200393462</v>
      </c>
      <c r="F50" s="5">
        <v>-14723127.187853001</v>
      </c>
      <c r="G50" s="1">
        <f t="shared" si="0"/>
        <v>211</v>
      </c>
    </row>
    <row r="51" spans="1:8" x14ac:dyDescent="0.35">
      <c r="A51" s="8">
        <v>0.18990000000000001</v>
      </c>
      <c r="B51" s="1">
        <v>30</v>
      </c>
      <c r="C51" s="5">
        <v>8803.6742561608553</v>
      </c>
      <c r="D51" s="5">
        <v>232993.48774777376</v>
      </c>
      <c r="E51" s="5">
        <v>241797.16200393462</v>
      </c>
      <c r="F51" s="5">
        <v>-14714323.51359684</v>
      </c>
      <c r="G51" s="1">
        <f t="shared" si="0"/>
        <v>210</v>
      </c>
    </row>
    <row r="52" spans="1:8" x14ac:dyDescent="0.35">
      <c r="A52" s="8">
        <v>0.18990000000000001</v>
      </c>
      <c r="B52" s="1">
        <v>31</v>
      </c>
      <c r="C52" s="5">
        <v>8942.9924012646079</v>
      </c>
      <c r="D52" s="5">
        <v>232854.16960267001</v>
      </c>
      <c r="E52" s="5">
        <v>241797.16200393462</v>
      </c>
      <c r="F52" s="5">
        <v>-14705380.521195576</v>
      </c>
      <c r="G52" s="1">
        <f t="shared" si="0"/>
        <v>209</v>
      </c>
    </row>
    <row r="53" spans="1:8" x14ac:dyDescent="0.35">
      <c r="A53" s="8">
        <v>0.18990000000000001</v>
      </c>
      <c r="B53" s="1">
        <v>32</v>
      </c>
      <c r="C53" s="5">
        <v>9084.5152560146234</v>
      </c>
      <c r="D53" s="5">
        <v>232712.64674791999</v>
      </c>
      <c r="E53" s="5">
        <v>241797.16200393462</v>
      </c>
      <c r="F53" s="5">
        <v>-14696296.005939562</v>
      </c>
      <c r="G53" s="1">
        <f t="shared" si="0"/>
        <v>208</v>
      </c>
    </row>
    <row r="54" spans="1:8" x14ac:dyDescent="0.35">
      <c r="A54" s="8">
        <v>0.18990000000000001</v>
      </c>
      <c r="B54" s="1">
        <v>33</v>
      </c>
      <c r="C54" s="5">
        <v>9228.2777099410305</v>
      </c>
      <c r="D54" s="5">
        <v>232568.88429399359</v>
      </c>
      <c r="E54" s="5">
        <v>241797.16200393462</v>
      </c>
      <c r="F54" s="5">
        <v>-14687067.728229621</v>
      </c>
      <c r="G54" s="1">
        <f t="shared" si="0"/>
        <v>207</v>
      </c>
    </row>
    <row r="55" spans="1:8" x14ac:dyDescent="0.35">
      <c r="A55" s="8">
        <v>0.18990000000000001</v>
      </c>
      <c r="B55" s="1">
        <v>34</v>
      </c>
      <c r="C55" s="5">
        <v>9374.3152047008334</v>
      </c>
      <c r="D55" s="5">
        <v>232422.84679923378</v>
      </c>
      <c r="E55" s="5">
        <v>241797.16200393462</v>
      </c>
      <c r="F55" s="5">
        <v>-14677693.413024921</v>
      </c>
      <c r="G55" s="1">
        <f t="shared" si="0"/>
        <v>206</v>
      </c>
    </row>
    <row r="56" spans="1:8" x14ac:dyDescent="0.35">
      <c r="A56" s="8">
        <v>0.18990000000000001</v>
      </c>
      <c r="B56" s="1">
        <v>35</v>
      </c>
      <c r="C56" s="5">
        <v>9522.6637428152317</v>
      </c>
      <c r="D56" s="5">
        <v>232274.49826111938</v>
      </c>
      <c r="E56" s="5">
        <v>241797.16200393462</v>
      </c>
      <c r="F56" s="5">
        <v>-14668170.749282105</v>
      </c>
      <c r="G56" s="1">
        <f t="shared" si="0"/>
        <v>205</v>
      </c>
    </row>
    <row r="57" spans="1:8" x14ac:dyDescent="0.35">
      <c r="A57" s="8">
        <v>0.18990000000000001</v>
      </c>
      <c r="B57" s="1">
        <v>36</v>
      </c>
      <c r="C57" s="5">
        <v>9673.3598965452984</v>
      </c>
      <c r="D57" s="5">
        <v>232123.80210738932</v>
      </c>
      <c r="E57" s="5">
        <v>241797.16200393462</v>
      </c>
      <c r="F57" s="5">
        <v>-14658497.389385559</v>
      </c>
      <c r="G57" s="1">
        <f t="shared" si="0"/>
        <v>204</v>
      </c>
    </row>
    <row r="58" spans="1:8" x14ac:dyDescent="0.35">
      <c r="A58" s="8">
        <v>0.18990000000000001</v>
      </c>
      <c r="B58" s="1">
        <v>37</v>
      </c>
      <c r="C58" s="5">
        <v>9826.4408169081435</v>
      </c>
      <c r="D58" s="5">
        <v>231970.72118702647</v>
      </c>
      <c r="E58" s="5">
        <v>241797.16200393462</v>
      </c>
      <c r="F58" s="5">
        <v>-14648670.94856865</v>
      </c>
      <c r="G58" s="1">
        <f t="shared" si="0"/>
        <v>203</v>
      </c>
    </row>
    <row r="59" spans="1:8" x14ac:dyDescent="0.35">
      <c r="A59" s="8">
        <v>0.18990000000000001</v>
      </c>
      <c r="B59" s="1">
        <v>38</v>
      </c>
      <c r="C59" s="5">
        <v>9981.9442428357142</v>
      </c>
      <c r="D59" s="5">
        <v>231815.2177610989</v>
      </c>
      <c r="E59" s="5">
        <v>241797.16200393462</v>
      </c>
      <c r="F59" s="5">
        <v>-14638689.004325815</v>
      </c>
      <c r="G59" s="1">
        <f t="shared" si="0"/>
        <v>202</v>
      </c>
    </row>
    <row r="60" spans="1:8" x14ac:dyDescent="0.35">
      <c r="A60" s="8">
        <v>0.18990000000000001</v>
      </c>
      <c r="B60" s="1">
        <v>39</v>
      </c>
      <c r="C60" s="5">
        <v>10139.908510478592</v>
      </c>
      <c r="D60" s="5">
        <v>231657.25349345602</v>
      </c>
      <c r="E60" s="5">
        <v>241797.16200393462</v>
      </c>
      <c r="F60" s="5">
        <v>-14628549.095815336</v>
      </c>
      <c r="G60" s="1">
        <f t="shared" si="0"/>
        <v>201</v>
      </c>
    </row>
    <row r="61" spans="1:8" x14ac:dyDescent="0.35">
      <c r="A61" s="8">
        <v>0.18990000000000001</v>
      </c>
      <c r="B61" s="1">
        <v>40</v>
      </c>
      <c r="C61" s="5">
        <v>10300.372562656907</v>
      </c>
      <c r="D61" s="5">
        <v>231496.78944127771</v>
      </c>
      <c r="E61" s="5">
        <v>241797.16200393462</v>
      </c>
      <c r="F61" s="5">
        <v>-14618248.72325268</v>
      </c>
      <c r="G61" s="1">
        <f t="shared" si="0"/>
        <v>200</v>
      </c>
    </row>
    <row r="62" spans="1:8" x14ac:dyDescent="0.35">
      <c r="A62" s="8">
        <v>0.18990000000000001</v>
      </c>
      <c r="B62" s="1">
        <v>41</v>
      </c>
      <c r="C62" s="5">
        <v>10463.375958460936</v>
      </c>
      <c r="D62" s="5">
        <v>231333.78604547368</v>
      </c>
      <c r="E62" s="5">
        <v>241797.16200393462</v>
      </c>
      <c r="F62" s="5">
        <v>-14607785.347294219</v>
      </c>
      <c r="G62" s="1">
        <f t="shared" si="0"/>
        <v>199</v>
      </c>
    </row>
    <row r="63" spans="1:8" x14ac:dyDescent="0.35">
      <c r="A63" s="8">
        <v>0.18990000000000001</v>
      </c>
      <c r="B63" s="1">
        <v>42</v>
      </c>
      <c r="C63" s="5">
        <v>10628.958883003594</v>
      </c>
      <c r="D63" s="5">
        <v>231168.20312093102</v>
      </c>
      <c r="E63" s="5">
        <v>241797.16200393462</v>
      </c>
      <c r="F63" s="5">
        <v>-14597156.388411215</v>
      </c>
      <c r="G63" s="1">
        <f t="shared" si="0"/>
        <v>198</v>
      </c>
    </row>
    <row r="64" spans="1:8" x14ac:dyDescent="0.35">
      <c r="A64" s="8">
        <v>0.18990000000000001</v>
      </c>
      <c r="B64" s="1">
        <v>43</v>
      </c>
      <c r="C64" s="5">
        <v>10797.16215732714</v>
      </c>
      <c r="D64" s="5">
        <v>230999.99984660748</v>
      </c>
      <c r="E64" s="5">
        <v>241797.16200393462</v>
      </c>
      <c r="F64" s="5">
        <v>-14586359.226253888</v>
      </c>
      <c r="G64" s="1">
        <f t="shared" si="0"/>
        <v>197</v>
      </c>
    </row>
    <row r="65" spans="1:7" x14ac:dyDescent="0.35">
      <c r="A65" s="8">
        <v>0.18990000000000001</v>
      </c>
      <c r="B65" s="1">
        <v>44</v>
      </c>
      <c r="C65" s="5">
        <v>10968.027248466824</v>
      </c>
      <c r="D65" s="5">
        <v>230829.13475546779</v>
      </c>
      <c r="E65" s="5">
        <v>241797.16200393462</v>
      </c>
      <c r="F65" s="5">
        <v>-14575391.199005421</v>
      </c>
      <c r="G65" s="1">
        <f t="shared" si="0"/>
        <v>196</v>
      </c>
    </row>
    <row r="66" spans="1:7" x14ac:dyDescent="0.35">
      <c r="A66" s="8">
        <v>0.18990000000000001</v>
      </c>
      <c r="B66" s="1">
        <v>45</v>
      </c>
      <c r="C66" s="5">
        <v>11141.596279673802</v>
      </c>
      <c r="D66" s="5">
        <v>230655.56572426081</v>
      </c>
      <c r="E66" s="5">
        <v>241797.16200393462</v>
      </c>
      <c r="F66" s="5">
        <v>-14564249.602725748</v>
      </c>
      <c r="G66" s="1">
        <f t="shared" si="0"/>
        <v>195</v>
      </c>
    </row>
    <row r="67" spans="1:7" x14ac:dyDescent="0.35">
      <c r="A67" s="8">
        <v>0.18990000000000001</v>
      </c>
      <c r="B67" s="1">
        <v>46</v>
      </c>
      <c r="C67" s="5">
        <v>11317.912040799652</v>
      </c>
      <c r="D67" s="5">
        <v>230479.24996313496</v>
      </c>
      <c r="E67" s="5">
        <v>241797.16200393462</v>
      </c>
      <c r="F67" s="5">
        <v>-14552931.690684948</v>
      </c>
      <c r="G67" s="1">
        <f t="shared" si="0"/>
        <v>194</v>
      </c>
    </row>
    <row r="68" spans="1:7" x14ac:dyDescent="0.35">
      <c r="A68" s="8">
        <v>0.18990000000000001</v>
      </c>
      <c r="B68" s="1">
        <v>47</v>
      </c>
      <c r="C68" s="5">
        <v>11497.017998845287</v>
      </c>
      <c r="D68" s="5">
        <v>230300.14400508933</v>
      </c>
      <c r="E68" s="5">
        <v>241797.16200393462</v>
      </c>
      <c r="F68" s="5">
        <v>-14541434.672686104</v>
      </c>
      <c r="G68" s="1">
        <f t="shared" si="0"/>
        <v>193</v>
      </c>
    </row>
    <row r="69" spans="1:7" x14ac:dyDescent="0.35">
      <c r="A69" s="8">
        <v>0.18990000000000001</v>
      </c>
      <c r="B69" s="1">
        <v>48</v>
      </c>
      <c r="C69" s="5">
        <v>11678.958308677014</v>
      </c>
      <c r="D69" s="5">
        <v>230118.2036952576</v>
      </c>
      <c r="E69" s="5">
        <v>241797.16200393462</v>
      </c>
      <c r="F69" s="5">
        <v>-14529755.714377427</v>
      </c>
      <c r="G69" s="1">
        <f t="shared" si="0"/>
        <v>192</v>
      </c>
    </row>
    <row r="70" spans="1:7" x14ac:dyDescent="0.35">
      <c r="A70" s="8">
        <v>0.18990000000000001</v>
      </c>
      <c r="B70" s="1">
        <v>49</v>
      </c>
      <c r="C70" s="5">
        <v>11863.777823911805</v>
      </c>
      <c r="D70" s="5">
        <v>229933.38418002281</v>
      </c>
      <c r="E70" s="5">
        <v>241797.16200393462</v>
      </c>
      <c r="F70" s="5">
        <v>-14517891.936553515</v>
      </c>
      <c r="G70" s="1">
        <f t="shared" si="0"/>
        <v>191</v>
      </c>
    </row>
    <row r="71" spans="1:7" x14ac:dyDescent="0.35">
      <c r="A71" s="8">
        <v>0.18990000000000001</v>
      </c>
      <c r="B71" s="1">
        <v>50</v>
      </c>
      <c r="C71" s="5">
        <v>12051.522107975208</v>
      </c>
      <c r="D71" s="5">
        <v>229745.63989595941</v>
      </c>
      <c r="E71" s="5">
        <v>241797.16200393462</v>
      </c>
      <c r="F71" s="5">
        <v>-14505840.41444554</v>
      </c>
      <c r="G71" s="1">
        <f t="shared" si="0"/>
        <v>190</v>
      </c>
    </row>
    <row r="72" spans="1:7" x14ac:dyDescent="0.35">
      <c r="A72" s="8">
        <v>0.18990000000000001</v>
      </c>
      <c r="B72" s="1">
        <v>51</v>
      </c>
      <c r="C72" s="5">
        <v>12242.237445333943</v>
      </c>
      <c r="D72" s="5">
        <v>229554.92455860067</v>
      </c>
      <c r="E72" s="5">
        <v>241797.16200393462</v>
      </c>
      <c r="F72" s="5">
        <v>-14493598.177000206</v>
      </c>
      <c r="G72" s="1">
        <f t="shared" si="0"/>
        <v>189</v>
      </c>
    </row>
    <row r="73" spans="1:7" x14ac:dyDescent="0.35">
      <c r="A73" s="8">
        <v>0.18990000000000001</v>
      </c>
      <c r="B73" s="1">
        <v>52</v>
      </c>
      <c r="C73" s="5">
        <v>12435.97085290635</v>
      </c>
      <c r="D73" s="5">
        <v>229361.19115102827</v>
      </c>
      <c r="E73" s="5">
        <v>241797.16200393462</v>
      </c>
      <c r="F73" s="5">
        <v>-14481162.2061473</v>
      </c>
      <c r="G73" s="1">
        <f t="shared" si="0"/>
        <v>188</v>
      </c>
    </row>
    <row r="74" spans="1:7" x14ac:dyDescent="0.35">
      <c r="A74" s="8">
        <v>0.18990000000000001</v>
      </c>
      <c r="B74" s="1">
        <v>53</v>
      </c>
      <c r="C74" s="5">
        <v>12632.770091653569</v>
      </c>
      <c r="D74" s="5">
        <v>229164.39191228105</v>
      </c>
      <c r="E74" s="5">
        <v>241797.16200393462</v>
      </c>
      <c r="F74" s="5">
        <v>-14468529.436055647</v>
      </c>
      <c r="G74" s="1">
        <f t="shared" si="0"/>
        <v>187</v>
      </c>
    </row>
    <row r="75" spans="1:7" x14ac:dyDescent="0.35">
      <c r="A75" s="8">
        <v>0.18990000000000001</v>
      </c>
      <c r="B75" s="1">
        <v>54</v>
      </c>
      <c r="C75" s="5">
        <v>12832.683678353991</v>
      </c>
      <c r="D75" s="5">
        <v>228964.47832558063</v>
      </c>
      <c r="E75" s="5">
        <v>241797.16200393462</v>
      </c>
      <c r="F75" s="5">
        <v>-14455696.752377294</v>
      </c>
      <c r="G75" s="1">
        <f t="shared" si="0"/>
        <v>186</v>
      </c>
    </row>
    <row r="76" spans="1:7" x14ac:dyDescent="0.35">
      <c r="A76" s="8">
        <v>0.18990000000000001</v>
      </c>
      <c r="B76" s="1">
        <v>55</v>
      </c>
      <c r="C76" s="5">
        <v>13035.760897563916</v>
      </c>
      <c r="D76" s="5">
        <v>228761.4011063707</v>
      </c>
      <c r="E76" s="5">
        <v>241797.16200393462</v>
      </c>
      <c r="F76" s="5">
        <v>-14442660.99147973</v>
      </c>
      <c r="G76" s="1">
        <f t="shared" si="0"/>
        <v>185</v>
      </c>
    </row>
    <row r="77" spans="1:7" x14ac:dyDescent="0.35">
      <c r="A77" s="8">
        <v>0.18990000000000001</v>
      </c>
      <c r="B77" s="1">
        <v>56</v>
      </c>
      <c r="C77" s="5">
        <v>13242.051813767874</v>
      </c>
      <c r="D77" s="5">
        <v>228555.11019016674</v>
      </c>
      <c r="E77" s="5">
        <v>241797.16200393462</v>
      </c>
      <c r="F77" s="5">
        <v>-14429418.939665962</v>
      </c>
      <c r="G77" s="1">
        <f t="shared" si="0"/>
        <v>184</v>
      </c>
    </row>
    <row r="78" spans="1:7" x14ac:dyDescent="0.35">
      <c r="A78" s="8">
        <v>0.18990000000000001</v>
      </c>
      <c r="B78" s="1">
        <v>57</v>
      </c>
      <c r="C78" s="5">
        <v>13451.607283720747</v>
      </c>
      <c r="D78" s="5">
        <v>228345.55472021387</v>
      </c>
      <c r="E78" s="5">
        <v>241797.16200393462</v>
      </c>
      <c r="F78" s="5">
        <v>-14415967.332382241</v>
      </c>
      <c r="G78" s="1">
        <f t="shared" si="0"/>
        <v>183</v>
      </c>
    </row>
    <row r="79" spans="1:7" x14ac:dyDescent="0.35">
      <c r="A79" s="8">
        <v>0.18990000000000001</v>
      </c>
      <c r="B79" s="1">
        <v>58</v>
      </c>
      <c r="C79" s="5">
        <v>13664.478968985641</v>
      </c>
      <c r="D79" s="5">
        <v>228132.68303494898</v>
      </c>
      <c r="E79" s="5">
        <v>241797.16200393462</v>
      </c>
      <c r="F79" s="5">
        <v>-14402302.853413256</v>
      </c>
      <c r="G79" s="1">
        <f t="shared" si="0"/>
        <v>182</v>
      </c>
    </row>
    <row r="80" spans="1:7" x14ac:dyDescent="0.35">
      <c r="A80" s="8">
        <v>0.18990000000000001</v>
      </c>
      <c r="B80" s="1">
        <v>59</v>
      </c>
      <c r="C80" s="5">
        <v>13880.719348669838</v>
      </c>
      <c r="D80" s="5">
        <v>227916.44265526478</v>
      </c>
      <c r="E80" s="5">
        <v>241797.16200393462</v>
      </c>
      <c r="F80" s="5">
        <v>-14388422.134064587</v>
      </c>
      <c r="G80" s="1">
        <f t="shared" si="0"/>
        <v>181</v>
      </c>
    </row>
    <row r="81" spans="1:7" x14ac:dyDescent="0.35">
      <c r="A81" s="8">
        <v>0.18990000000000001</v>
      </c>
      <c r="B81" s="1">
        <v>60</v>
      </c>
      <c r="C81" s="5">
        <v>14100.381732362526</v>
      </c>
      <c r="D81" s="5">
        <v>227696.78027157209</v>
      </c>
      <c r="E81" s="5">
        <v>241797.16200393462</v>
      </c>
      <c r="F81" s="5">
        <v>-14374321.752332224</v>
      </c>
      <c r="G81" s="1">
        <f t="shared" si="0"/>
        <v>180</v>
      </c>
    </row>
    <row r="82" spans="1:7" x14ac:dyDescent="0.35">
      <c r="A82" s="8">
        <v>0.18990000000000001</v>
      </c>
      <c r="B82" s="1">
        <v>61</v>
      </c>
      <c r="C82" s="5">
        <v>14323.520273277158</v>
      </c>
      <c r="D82" s="5">
        <v>227473.64173065746</v>
      </c>
      <c r="E82" s="5">
        <v>241797.16200393462</v>
      </c>
      <c r="F82" s="5">
        <v>-14359998.232058946</v>
      </c>
      <c r="G82" s="1">
        <f t="shared" si="0"/>
        <v>179</v>
      </c>
    </row>
    <row r="83" spans="1:7" x14ac:dyDescent="0.35">
      <c r="A83" s="8">
        <v>0.18990000000000001</v>
      </c>
      <c r="B83" s="1">
        <v>62</v>
      </c>
      <c r="C83" s="5">
        <v>14550.189981601783</v>
      </c>
      <c r="D83" s="5">
        <v>227246.97202233283</v>
      </c>
      <c r="E83" s="5">
        <v>241797.16200393462</v>
      </c>
      <c r="F83" s="5">
        <v>-14345448.042077344</v>
      </c>
      <c r="G83" s="1">
        <f t="shared" si="0"/>
        <v>178</v>
      </c>
    </row>
    <row r="84" spans="1:7" x14ac:dyDescent="0.35">
      <c r="A84" s="8">
        <v>0.18990000000000001</v>
      </c>
      <c r="B84" s="1">
        <v>63</v>
      </c>
      <c r="C84" s="5">
        <v>14780.446738060622</v>
      </c>
      <c r="D84" s="5">
        <v>227016.71526587399</v>
      </c>
      <c r="E84" s="5">
        <v>241797.16200393462</v>
      </c>
      <c r="F84" s="5">
        <v>-14330667.595339283</v>
      </c>
      <c r="G84" s="1">
        <f t="shared" si="0"/>
        <v>177</v>
      </c>
    </row>
    <row r="85" spans="1:7" x14ac:dyDescent="0.35">
      <c r="A85" s="8">
        <v>0.18990000000000001</v>
      </c>
      <c r="B85" s="1">
        <v>64</v>
      </c>
      <c r="C85" s="5">
        <v>15014.347307690448</v>
      </c>
      <c r="D85" s="5">
        <v>226782.81469624417</v>
      </c>
      <c r="E85" s="5">
        <v>241797.16200393462</v>
      </c>
      <c r="F85" s="5">
        <v>-14315653.248031592</v>
      </c>
      <c r="G85" s="1">
        <f t="shared" si="0"/>
        <v>176</v>
      </c>
    </row>
    <row r="86" spans="1:7" x14ac:dyDescent="0.35">
      <c r="A86" s="8">
        <v>0.18990000000000001</v>
      </c>
      <c r="B86" s="1">
        <v>65</v>
      </c>
      <c r="C86" s="5">
        <v>15251.949353834643</v>
      </c>
      <c r="D86" s="5">
        <v>226545.21265009997</v>
      </c>
      <c r="E86" s="5">
        <v>241797.16200393462</v>
      </c>
      <c r="F86" s="5">
        <v>-14300401.298677757</v>
      </c>
      <c r="G86" s="1">
        <f t="shared" si="0"/>
        <v>175</v>
      </c>
    </row>
    <row r="87" spans="1:7" x14ac:dyDescent="0.35">
      <c r="A87" s="8">
        <v>0.18990000000000001</v>
      </c>
      <c r="B87" s="1">
        <v>66</v>
      </c>
      <c r="C87" s="5">
        <v>15493.311452359078</v>
      </c>
      <c r="D87" s="5">
        <v>226303.85055157554</v>
      </c>
      <c r="E87" s="5">
        <v>241797.16200393462</v>
      </c>
      <c r="F87" s="5">
        <v>-14284907.987225398</v>
      </c>
      <c r="G87" s="1">
        <f t="shared" ref="G87:G150" si="1">IF(B87&gt;=$B$3,0,$B$3-B87)</f>
        <v>174</v>
      </c>
    </row>
    <row r="88" spans="1:7" x14ac:dyDescent="0.35">
      <c r="A88" s="8">
        <v>0.18990000000000001</v>
      </c>
      <c r="B88" s="1">
        <v>67</v>
      </c>
      <c r="C88" s="5">
        <v>15738.493106092676</v>
      </c>
      <c r="D88" s="5">
        <v>226058.66889784194</v>
      </c>
      <c r="E88" s="5">
        <v>241797.16200393462</v>
      </c>
      <c r="F88" s="5">
        <v>-14269169.494119305</v>
      </c>
      <c r="G88" s="1">
        <f t="shared" si="1"/>
        <v>173</v>
      </c>
    </row>
    <row r="89" spans="1:7" x14ac:dyDescent="0.35">
      <c r="A89" s="8">
        <v>0.18990000000000001</v>
      </c>
      <c r="B89" s="1">
        <v>68</v>
      </c>
      <c r="C89" s="5">
        <v>15987.55475949659</v>
      </c>
      <c r="D89" s="5">
        <v>225809.60724443803</v>
      </c>
      <c r="E89" s="5">
        <v>241797.16200393462</v>
      </c>
      <c r="F89" s="5">
        <v>-14253181.939359808</v>
      </c>
      <c r="G89" s="1">
        <f t="shared" si="1"/>
        <v>172</v>
      </c>
    </row>
    <row r="90" spans="1:7" x14ac:dyDescent="0.35">
      <c r="A90" s="8">
        <v>0.18990000000000001</v>
      </c>
      <c r="B90" s="1">
        <v>69</v>
      </c>
      <c r="C90" s="5">
        <v>16240.557813565625</v>
      </c>
      <c r="D90" s="5">
        <v>225556.60419036899</v>
      </c>
      <c r="E90" s="5">
        <v>241797.16200393462</v>
      </c>
      <c r="F90" s="5">
        <v>-14236941.381546242</v>
      </c>
      <c r="G90" s="1">
        <f t="shared" si="1"/>
        <v>171</v>
      </c>
    </row>
    <row r="91" spans="1:7" x14ac:dyDescent="0.35">
      <c r="A91" s="8">
        <v>0.18990000000000001</v>
      </c>
      <c r="B91" s="1">
        <v>70</v>
      </c>
      <c r="C91" s="5">
        <v>16497.564640965313</v>
      </c>
      <c r="D91" s="5">
        <v>225299.5973629693</v>
      </c>
      <c r="E91" s="5">
        <v>241797.16200393462</v>
      </c>
      <c r="F91" s="5">
        <v>-14220443.816905277</v>
      </c>
      <c r="G91" s="1">
        <f t="shared" si="1"/>
        <v>170</v>
      </c>
    </row>
    <row r="92" spans="1:7" x14ac:dyDescent="0.35">
      <c r="A92" s="8">
        <v>0.18990000000000001</v>
      </c>
      <c r="B92" s="1">
        <v>71</v>
      </c>
      <c r="C92" s="5">
        <v>16758.638601408602</v>
      </c>
      <c r="D92" s="5">
        <v>225038.52340252601</v>
      </c>
      <c r="E92" s="5">
        <v>241797.16200393462</v>
      </c>
      <c r="F92" s="5">
        <v>-14203685.178303868</v>
      </c>
      <c r="G92" s="1">
        <f t="shared" si="1"/>
        <v>169</v>
      </c>
    </row>
    <row r="93" spans="1:7" x14ac:dyDescent="0.35">
      <c r="A93" s="8">
        <v>0.18990000000000001</v>
      </c>
      <c r="B93" s="1">
        <v>72</v>
      </c>
      <c r="C93" s="5">
        <v>17023.844057275885</v>
      </c>
      <c r="D93" s="5">
        <v>224773.31794665873</v>
      </c>
      <c r="E93" s="5">
        <v>241797.16200393462</v>
      </c>
      <c r="F93" s="5">
        <v>-14186661.334246593</v>
      </c>
      <c r="G93" s="1">
        <f t="shared" si="1"/>
        <v>168</v>
      </c>
    </row>
    <row r="94" spans="1:7" x14ac:dyDescent="0.35">
      <c r="A94" s="8">
        <v>0.18990000000000001</v>
      </c>
      <c r="B94" s="1">
        <v>73</v>
      </c>
      <c r="C94" s="5">
        <v>17293.246389482287</v>
      </c>
      <c r="D94" s="5">
        <v>224503.91561445233</v>
      </c>
      <c r="E94" s="5">
        <v>241797.16200393462</v>
      </c>
      <c r="F94" s="5">
        <v>-14169368.08785711</v>
      </c>
      <c r="G94" s="1">
        <f t="shared" si="1"/>
        <v>167</v>
      </c>
    </row>
    <row r="95" spans="1:7" x14ac:dyDescent="0.35">
      <c r="A95" s="8">
        <v>0.18990000000000001</v>
      </c>
      <c r="B95" s="1">
        <v>74</v>
      </c>
      <c r="C95" s="5">
        <v>17566.912013595836</v>
      </c>
      <c r="D95" s="5">
        <v>224230.24999033878</v>
      </c>
      <c r="E95" s="5">
        <v>241797.16200393462</v>
      </c>
      <c r="F95" s="5">
        <v>-14151801.175843515</v>
      </c>
      <c r="G95" s="1">
        <f t="shared" si="1"/>
        <v>166</v>
      </c>
    </row>
    <row r="96" spans="1:7" x14ac:dyDescent="0.35">
      <c r="A96" s="8">
        <v>0.18990000000000001</v>
      </c>
      <c r="B96" s="1">
        <v>75</v>
      </c>
      <c r="C96" s="5">
        <v>17844.908396210987</v>
      </c>
      <c r="D96" s="5">
        <v>223952.25360772363</v>
      </c>
      <c r="E96" s="5">
        <v>241797.16200393462</v>
      </c>
      <c r="F96" s="5">
        <v>-14133956.267447304</v>
      </c>
      <c r="G96" s="1">
        <f t="shared" si="1"/>
        <v>165</v>
      </c>
    </row>
    <row r="97" spans="1:7" x14ac:dyDescent="0.35">
      <c r="A97" s="8">
        <v>0.18990000000000001</v>
      </c>
      <c r="B97" s="1">
        <v>76</v>
      </c>
      <c r="C97" s="5">
        <v>18127.30407158102</v>
      </c>
      <c r="D97" s="5">
        <v>223669.8579323536</v>
      </c>
      <c r="E97" s="5">
        <v>241797.16200393462</v>
      </c>
      <c r="F97" s="5">
        <v>-14115828.963375723</v>
      </c>
      <c r="G97" s="1">
        <f t="shared" si="1"/>
        <v>164</v>
      </c>
    </row>
    <row r="98" spans="1:7" x14ac:dyDescent="0.35">
      <c r="A98" s="8">
        <v>0.18990000000000001</v>
      </c>
      <c r="B98" s="1">
        <v>77</v>
      </c>
      <c r="C98" s="5">
        <v>18414.16865851378</v>
      </c>
      <c r="D98" s="5">
        <v>223382.99334542084</v>
      </c>
      <c r="E98" s="5">
        <v>241797.16200393462</v>
      </c>
      <c r="F98" s="5">
        <v>-14097414.794717209</v>
      </c>
      <c r="G98" s="1">
        <f t="shared" si="1"/>
        <v>163</v>
      </c>
    </row>
    <row r="99" spans="1:7" x14ac:dyDescent="0.35">
      <c r="A99" s="8">
        <v>0.18990000000000001</v>
      </c>
      <c r="B99" s="1">
        <v>78</v>
      </c>
      <c r="C99" s="5">
        <v>18705.572877534752</v>
      </c>
      <c r="D99" s="5">
        <v>223091.58912639986</v>
      </c>
      <c r="E99" s="5">
        <v>241797.16200393462</v>
      </c>
      <c r="F99" s="5">
        <v>-14078709.221839674</v>
      </c>
      <c r="G99" s="1">
        <f t="shared" si="1"/>
        <v>162</v>
      </c>
    </row>
    <row r="100" spans="1:7" x14ac:dyDescent="0.35">
      <c r="A100" s="8">
        <v>0.18990000000000001</v>
      </c>
      <c r="B100" s="1">
        <v>79</v>
      </c>
      <c r="C100" s="5">
        <v>19001.588568321749</v>
      </c>
      <c r="D100" s="5">
        <v>222795.57343561287</v>
      </c>
      <c r="E100" s="5">
        <v>241797.16200393462</v>
      </c>
      <c r="F100" s="5">
        <v>-14059707.633271351</v>
      </c>
      <c r="G100" s="1">
        <f t="shared" si="1"/>
        <v>161</v>
      </c>
    </row>
    <row r="101" spans="1:7" x14ac:dyDescent="0.35">
      <c r="A101" s="8">
        <v>0.18990000000000001</v>
      </c>
      <c r="B101" s="1">
        <v>80</v>
      </c>
      <c r="C101" s="5">
        <v>19302.288707415457</v>
      </c>
      <c r="D101" s="5">
        <v>222494.87329651916</v>
      </c>
      <c r="E101" s="5">
        <v>241797.16200393462</v>
      </c>
      <c r="F101" s="5">
        <v>-14040405.344563937</v>
      </c>
      <c r="G101" s="1">
        <f t="shared" si="1"/>
        <v>160</v>
      </c>
    </row>
    <row r="102" spans="1:7" x14ac:dyDescent="0.35">
      <c r="A102" s="8">
        <v>0.18990000000000001</v>
      </c>
      <c r="B102" s="1">
        <v>81</v>
      </c>
      <c r="C102" s="5">
        <v>19607.747426210291</v>
      </c>
      <c r="D102" s="5">
        <v>222189.41457772432</v>
      </c>
      <c r="E102" s="5">
        <v>241797.16200393462</v>
      </c>
      <c r="F102" s="5">
        <v>-14020797.597137727</v>
      </c>
      <c r="G102" s="1">
        <f t="shared" si="1"/>
        <v>159</v>
      </c>
    </row>
    <row r="103" spans="1:7" x14ac:dyDescent="0.35">
      <c r="A103" s="8">
        <v>0.18990000000000001</v>
      </c>
      <c r="B103" s="1">
        <v>82</v>
      </c>
      <c r="C103" s="5">
        <v>19918.040029230062</v>
      </c>
      <c r="D103" s="5">
        <v>221879.12197470455</v>
      </c>
      <c r="E103" s="5">
        <v>241797.16200393462</v>
      </c>
      <c r="F103" s="5">
        <v>-14000879.557108497</v>
      </c>
      <c r="G103" s="1">
        <f t="shared" si="1"/>
        <v>158</v>
      </c>
    </row>
    <row r="104" spans="1:7" x14ac:dyDescent="0.35">
      <c r="A104" s="8">
        <v>0.18990000000000001</v>
      </c>
      <c r="B104" s="1">
        <v>83</v>
      </c>
      <c r="C104" s="5">
        <v>20233.243012692634</v>
      </c>
      <c r="D104" s="5">
        <v>221563.91899124198</v>
      </c>
      <c r="E104" s="5">
        <v>241797.16200393462</v>
      </c>
      <c r="F104" s="5">
        <v>-13980646.314095804</v>
      </c>
      <c r="G104" s="1">
        <f t="shared" si="1"/>
        <v>157</v>
      </c>
    </row>
    <row r="105" spans="1:7" x14ac:dyDescent="0.35">
      <c r="A105" s="8">
        <v>0.18990000000000001</v>
      </c>
      <c r="B105" s="1">
        <v>84</v>
      </c>
      <c r="C105" s="5">
        <v>20553.434083368484</v>
      </c>
      <c r="D105" s="5">
        <v>221243.72792056613</v>
      </c>
      <c r="E105" s="5">
        <v>241797.16200393462</v>
      </c>
      <c r="F105" s="5">
        <v>-13960092.880012436</v>
      </c>
      <c r="G105" s="1">
        <f t="shared" si="1"/>
        <v>156</v>
      </c>
    </row>
    <row r="106" spans="1:7" x14ac:dyDescent="0.35">
      <c r="A106" s="8">
        <v>0.18990000000000001</v>
      </c>
      <c r="B106" s="1">
        <v>85</v>
      </c>
      <c r="C106" s="5">
        <v>20878.692177737801</v>
      </c>
      <c r="D106" s="5">
        <v>220918.46982619682</v>
      </c>
      <c r="E106" s="5">
        <v>241797.16200393462</v>
      </c>
      <c r="F106" s="5">
        <v>-13939214.187834699</v>
      </c>
      <c r="G106" s="1">
        <f t="shared" si="1"/>
        <v>155</v>
      </c>
    </row>
    <row r="107" spans="1:7" x14ac:dyDescent="0.35">
      <c r="A107" s="8">
        <v>0.18990000000000001</v>
      </c>
      <c r="B107" s="1">
        <v>86</v>
      </c>
      <c r="C107" s="5">
        <v>21209.097481450503</v>
      </c>
      <c r="D107" s="5">
        <v>220588.06452248411</v>
      </c>
      <c r="E107" s="5">
        <v>241797.16200393462</v>
      </c>
      <c r="F107" s="5">
        <v>-13918005.090353249</v>
      </c>
      <c r="G107" s="1">
        <f t="shared" si="1"/>
        <v>154</v>
      </c>
    </row>
    <row r="108" spans="1:7" x14ac:dyDescent="0.35">
      <c r="A108" s="8">
        <v>0.18990000000000001</v>
      </c>
      <c r="B108" s="1">
        <v>87</v>
      </c>
      <c r="C108" s="5">
        <v>21544.731449094455</v>
      </c>
      <c r="D108" s="5">
        <v>220252.43055484016</v>
      </c>
      <c r="E108" s="5">
        <v>241797.16200393462</v>
      </c>
      <c r="F108" s="5">
        <v>-13896460.358904155</v>
      </c>
      <c r="G108" s="1">
        <f t="shared" si="1"/>
        <v>153</v>
      </c>
    </row>
    <row r="109" spans="1:7" x14ac:dyDescent="0.35">
      <c r="A109" s="8">
        <v>0.18990000000000001</v>
      </c>
      <c r="B109" s="1">
        <v>88</v>
      </c>
      <c r="C109" s="5">
        <v>21885.676824276336</v>
      </c>
      <c r="D109" s="5">
        <v>219911.48517965828</v>
      </c>
      <c r="E109" s="5">
        <v>241797.16200393462</v>
      </c>
      <c r="F109" s="5">
        <v>-13874574.682079878</v>
      </c>
      <c r="G109" s="1">
        <f t="shared" si="1"/>
        <v>152</v>
      </c>
    </row>
    <row r="110" spans="1:7" x14ac:dyDescent="0.35">
      <c r="A110" s="8">
        <v>0.18990000000000001</v>
      </c>
      <c r="B110" s="1">
        <v>89</v>
      </c>
      <c r="C110" s="5">
        <v>22232.01766002053</v>
      </c>
      <c r="D110" s="5">
        <v>219565.14434391409</v>
      </c>
      <c r="E110" s="5">
        <v>241797.16200393462</v>
      </c>
      <c r="F110" s="5">
        <v>-13852342.664419858</v>
      </c>
      <c r="G110" s="1">
        <f t="shared" si="1"/>
        <v>151</v>
      </c>
    </row>
    <row r="111" spans="1:7" x14ac:dyDescent="0.35">
      <c r="A111" s="8">
        <v>0.18990000000000001</v>
      </c>
      <c r="B111" s="1">
        <v>90</v>
      </c>
      <c r="C111" s="5">
        <v>22583.83933949034</v>
      </c>
      <c r="D111" s="5">
        <v>219213.32266444428</v>
      </c>
      <c r="E111" s="5">
        <v>241797.16200393462</v>
      </c>
      <c r="F111" s="5">
        <v>-13829758.825080367</v>
      </c>
      <c r="G111" s="1">
        <f t="shared" si="1"/>
        <v>150</v>
      </c>
    </row>
    <row r="112" spans="1:7" x14ac:dyDescent="0.35">
      <c r="A112" s="8">
        <v>0.18990000000000001</v>
      </c>
      <c r="B112" s="1">
        <v>91</v>
      </c>
      <c r="C112" s="5">
        <v>22941.228597037785</v>
      </c>
      <c r="D112" s="5">
        <v>218855.93340689683</v>
      </c>
      <c r="E112" s="5">
        <v>241797.16200393462</v>
      </c>
      <c r="F112" s="5">
        <v>-13806817.596483329</v>
      </c>
      <c r="G112" s="1">
        <f t="shared" si="1"/>
        <v>149</v>
      </c>
    </row>
    <row r="113" spans="1:7" x14ac:dyDescent="0.35">
      <c r="A113" s="8">
        <v>0.18990000000000001</v>
      </c>
      <c r="B113" s="1">
        <v>92</v>
      </c>
      <c r="C113" s="5">
        <v>23304.273539585905</v>
      </c>
      <c r="D113" s="5">
        <v>218492.88846434871</v>
      </c>
      <c r="E113" s="5">
        <v>241797.16200393462</v>
      </c>
      <c r="F113" s="5">
        <v>-13783513.322943743</v>
      </c>
      <c r="G113" s="1">
        <f t="shared" si="1"/>
        <v>148</v>
      </c>
    </row>
    <row r="114" spans="1:7" x14ac:dyDescent="0.35">
      <c r="A114" s="8">
        <v>0.18990000000000001</v>
      </c>
      <c r="B114" s="1">
        <v>93</v>
      </c>
      <c r="C114" s="5">
        <v>23673.063668349874</v>
      </c>
      <c r="D114" s="5">
        <v>218124.09833558474</v>
      </c>
      <c r="E114" s="5">
        <v>241797.16200393462</v>
      </c>
      <c r="F114" s="5">
        <v>-13759840.259275394</v>
      </c>
      <c r="G114" s="1">
        <f t="shared" si="1"/>
        <v>147</v>
      </c>
    </row>
    <row r="115" spans="1:7" x14ac:dyDescent="0.35">
      <c r="A115" s="8">
        <v>0.18990000000000001</v>
      </c>
      <c r="B115" s="1">
        <v>94</v>
      </c>
      <c r="C115" s="5">
        <v>24047.689900901489</v>
      </c>
      <c r="D115" s="5">
        <v>217749.47210303313</v>
      </c>
      <c r="E115" s="5">
        <v>241797.16200393462</v>
      </c>
      <c r="F115" s="5">
        <v>-13735792.569374492</v>
      </c>
      <c r="G115" s="1">
        <f t="shared" si="1"/>
        <v>146</v>
      </c>
    </row>
    <row r="116" spans="1:7" x14ac:dyDescent="0.35">
      <c r="A116" s="8">
        <v>0.18990000000000001</v>
      </c>
      <c r="B116" s="1">
        <v>95</v>
      </c>
      <c r="C116" s="5">
        <v>24428.244593583251</v>
      </c>
      <c r="D116" s="5">
        <v>217368.91741035137</v>
      </c>
      <c r="E116" s="5">
        <v>241797.16200393462</v>
      </c>
      <c r="F116" s="5">
        <v>-13711364.324780909</v>
      </c>
      <c r="G116" s="1">
        <f t="shared" si="1"/>
        <v>145</v>
      </c>
    </row>
    <row r="117" spans="1:7" x14ac:dyDescent="0.35">
      <c r="A117" s="8">
        <v>0.18990000000000001</v>
      </c>
      <c r="B117" s="1">
        <v>96</v>
      </c>
      <c r="C117" s="5">
        <v>24814.821564276703</v>
      </c>
      <c r="D117" s="5">
        <v>216982.34043965791</v>
      </c>
      <c r="E117" s="5">
        <v>241797.16200393462</v>
      </c>
      <c r="F117" s="5">
        <v>-13686549.503216632</v>
      </c>
      <c r="G117" s="1">
        <f t="shared" si="1"/>
        <v>144</v>
      </c>
    </row>
    <row r="118" spans="1:7" x14ac:dyDescent="0.35">
      <c r="A118" s="8">
        <v>0.18990000000000001</v>
      </c>
      <c r="B118" s="1">
        <v>97</v>
      </c>
      <c r="C118" s="5">
        <v>25207.516115531413</v>
      </c>
      <c r="D118" s="5">
        <v>216589.6458884032</v>
      </c>
      <c r="E118" s="5">
        <v>241797.16200393462</v>
      </c>
      <c r="F118" s="5">
        <v>-13661341.9871011</v>
      </c>
      <c r="G118" s="1">
        <f t="shared" si="1"/>
        <v>143</v>
      </c>
    </row>
    <row r="119" spans="1:7" x14ac:dyDescent="0.35">
      <c r="A119" s="8">
        <v>0.18990000000000001</v>
      </c>
      <c r="B119" s="1">
        <v>98</v>
      </c>
      <c r="C119" s="5">
        <v>25606.425058059685</v>
      </c>
      <c r="D119" s="5">
        <v>216190.73694587493</v>
      </c>
      <c r="E119" s="5">
        <v>241797.16200393462</v>
      </c>
      <c r="F119" s="5">
        <v>-13635735.562043041</v>
      </c>
      <c r="G119" s="1">
        <f t="shared" si="1"/>
        <v>142</v>
      </c>
    </row>
    <row r="120" spans="1:7" x14ac:dyDescent="0.35">
      <c r="A120" s="8">
        <v>0.18990000000000001</v>
      </c>
      <c r="B120" s="1">
        <v>99</v>
      </c>
      <c r="C120" s="5">
        <v>26011.646734603477</v>
      </c>
      <c r="D120" s="5">
        <v>215785.51526933114</v>
      </c>
      <c r="E120" s="5">
        <v>241797.16200393462</v>
      </c>
      <c r="F120" s="5">
        <v>-13609723.915308438</v>
      </c>
      <c r="G120" s="1">
        <f t="shared" si="1"/>
        <v>141</v>
      </c>
    </row>
    <row r="121" spans="1:7" x14ac:dyDescent="0.35">
      <c r="A121" s="8">
        <v>0.18990000000000001</v>
      </c>
      <c r="B121" s="1">
        <v>100</v>
      </c>
      <c r="C121" s="5">
        <v>26423.281044178555</v>
      </c>
      <c r="D121" s="5">
        <v>215373.88095975606</v>
      </c>
      <c r="E121" s="5">
        <v>241797.16200393462</v>
      </c>
      <c r="F121" s="5">
        <v>-13583300.634264261</v>
      </c>
      <c r="G121" s="1">
        <f t="shared" si="1"/>
        <v>140</v>
      </c>
    </row>
    <row r="122" spans="1:7" x14ac:dyDescent="0.35">
      <c r="A122" s="8">
        <v>0.18990000000000001</v>
      </c>
      <c r="B122" s="1">
        <v>101</v>
      </c>
      <c r="C122" s="5">
        <v>26841.429466702684</v>
      </c>
      <c r="D122" s="5">
        <v>214955.73253723193</v>
      </c>
      <c r="E122" s="5">
        <v>241797.16200393462</v>
      </c>
      <c r="F122" s="5">
        <v>-13556459.204797558</v>
      </c>
      <c r="G122" s="1">
        <f t="shared" si="1"/>
        <v>139</v>
      </c>
    </row>
    <row r="123" spans="1:7" x14ac:dyDescent="0.35">
      <c r="A123" s="8">
        <v>0.18990000000000001</v>
      </c>
      <c r="B123" s="1">
        <v>102</v>
      </c>
      <c r="C123" s="5">
        <v>27266.19508801325</v>
      </c>
      <c r="D123" s="5">
        <v>214530.96691592137</v>
      </c>
      <c r="E123" s="5">
        <v>241797.16200393462</v>
      </c>
      <c r="F123" s="5">
        <v>-13529193.009709544</v>
      </c>
      <c r="G123" s="1">
        <f t="shared" si="1"/>
        <v>138</v>
      </c>
    </row>
    <row r="124" spans="1:7" x14ac:dyDescent="0.35">
      <c r="A124" s="8">
        <v>0.18990000000000001</v>
      </c>
      <c r="B124" s="1">
        <v>103</v>
      </c>
      <c r="C124" s="5">
        <v>27697.682625281072</v>
      </c>
      <c r="D124" s="5">
        <v>214099.47937865354</v>
      </c>
      <c r="E124" s="5">
        <v>241797.16200393462</v>
      </c>
      <c r="F124" s="5">
        <v>-13501495.327084264</v>
      </c>
      <c r="G124" s="1">
        <f t="shared" si="1"/>
        <v>137</v>
      </c>
    </row>
    <row r="125" spans="1:7" x14ac:dyDescent="0.35">
      <c r="A125" s="8">
        <v>0.18990000000000001</v>
      </c>
      <c r="B125" s="1">
        <v>104</v>
      </c>
      <c r="C125" s="5">
        <v>28135.998452826141</v>
      </c>
      <c r="D125" s="5">
        <v>213661.16355110848</v>
      </c>
      <c r="E125" s="5">
        <v>241797.16200393462</v>
      </c>
      <c r="F125" s="5">
        <v>-13473359.328631438</v>
      </c>
      <c r="G125" s="1">
        <f t="shared" si="1"/>
        <v>136</v>
      </c>
    </row>
    <row r="126" spans="1:7" x14ac:dyDescent="0.35">
      <c r="A126" s="8">
        <v>0.18990000000000001</v>
      </c>
      <c r="B126" s="1">
        <v>105</v>
      </c>
      <c r="C126" s="5">
        <v>28581.250628342095</v>
      </c>
      <c r="D126" s="5">
        <v>213215.91137559252</v>
      </c>
      <c r="E126" s="5">
        <v>241797.16200393462</v>
      </c>
      <c r="F126" s="5">
        <v>-13444778.078003095</v>
      </c>
      <c r="G126" s="1">
        <f t="shared" si="1"/>
        <v>135</v>
      </c>
    </row>
    <row r="127" spans="1:7" x14ac:dyDescent="0.35">
      <c r="A127" s="8">
        <v>0.18990000000000001</v>
      </c>
      <c r="B127" s="1">
        <v>106</v>
      </c>
      <c r="C127" s="5">
        <v>29033.54891953562</v>
      </c>
      <c r="D127" s="5">
        <v>212763.613084399</v>
      </c>
      <c r="E127" s="5">
        <v>241797.16200393462</v>
      </c>
      <c r="F127" s="5">
        <v>-13415744.529083559</v>
      </c>
      <c r="G127" s="1">
        <f t="shared" si="1"/>
        <v>134</v>
      </c>
    </row>
    <row r="128" spans="1:7" x14ac:dyDescent="0.35">
      <c r="A128" s="8">
        <v>0.18990000000000001</v>
      </c>
      <c r="B128" s="1">
        <v>107</v>
      </c>
      <c r="C128" s="5">
        <v>29493.004831187282</v>
      </c>
      <c r="D128" s="5">
        <v>212304.15717274733</v>
      </c>
      <c r="E128" s="5">
        <v>241797.16200393462</v>
      </c>
      <c r="F128" s="5">
        <v>-13386251.524252372</v>
      </c>
      <c r="G128" s="1">
        <f t="shared" si="1"/>
        <v>133</v>
      </c>
    </row>
    <row r="129" spans="1:7" x14ac:dyDescent="0.35">
      <c r="A129" s="8">
        <v>0.18990000000000001</v>
      </c>
      <c r="B129" s="1">
        <v>108</v>
      </c>
      <c r="C129" s="5">
        <v>29959.731632640818</v>
      </c>
      <c r="D129" s="5">
        <v>211837.4303712938</v>
      </c>
      <c r="E129" s="5">
        <v>241797.16200393462</v>
      </c>
      <c r="F129" s="5">
        <v>-13356291.792619731</v>
      </c>
      <c r="G129" s="1">
        <f t="shared" si="1"/>
        <v>132</v>
      </c>
    </row>
    <row r="130" spans="1:7" x14ac:dyDescent="0.35">
      <c r="A130" s="8">
        <v>0.18990000000000001</v>
      </c>
      <c r="B130" s="1">
        <v>109</v>
      </c>
      <c r="C130" s="5">
        <v>30433.844385727367</v>
      </c>
      <c r="D130" s="5">
        <v>211363.31761820725</v>
      </c>
      <c r="E130" s="5">
        <v>241797.16200393462</v>
      </c>
      <c r="F130" s="5">
        <v>-13325857.948234003</v>
      </c>
      <c r="G130" s="1">
        <f t="shared" si="1"/>
        <v>131</v>
      </c>
    </row>
    <row r="131" spans="1:7" x14ac:dyDescent="0.35">
      <c r="A131" s="8">
        <v>0.18990000000000001</v>
      </c>
      <c r="B131" s="1">
        <v>110</v>
      </c>
      <c r="C131" s="5">
        <v>30915.45997313151</v>
      </c>
      <c r="D131" s="5">
        <v>210881.70203080311</v>
      </c>
      <c r="E131" s="5">
        <v>241797.16200393462</v>
      </c>
      <c r="F131" s="5">
        <v>-13294942.488260871</v>
      </c>
      <c r="G131" s="1">
        <f t="shared" si="1"/>
        <v>130</v>
      </c>
    </row>
    <row r="132" spans="1:7" x14ac:dyDescent="0.35">
      <c r="A132" s="8">
        <v>0.18990000000000001</v>
      </c>
      <c r="B132" s="1">
        <v>111</v>
      </c>
      <c r="C132" s="5">
        <v>31404.697127206309</v>
      </c>
      <c r="D132" s="5">
        <v>210392.46487672831</v>
      </c>
      <c r="E132" s="5">
        <v>241797.16200393462</v>
      </c>
      <c r="F132" s="5">
        <v>-13263537.791133665</v>
      </c>
      <c r="G132" s="1">
        <f t="shared" si="1"/>
        <v>129</v>
      </c>
    </row>
    <row r="133" spans="1:7" x14ac:dyDescent="0.35">
      <c r="A133" s="8">
        <v>0.18990000000000001</v>
      </c>
      <c r="B133" s="1">
        <v>112</v>
      </c>
      <c r="C133" s="5">
        <v>31901.676459244365</v>
      </c>
      <c r="D133" s="5">
        <v>209895.48554469025</v>
      </c>
      <c r="E133" s="5">
        <v>241797.16200393462</v>
      </c>
      <c r="F133" s="5">
        <v>-13231636.114674421</v>
      </c>
      <c r="G133" s="1">
        <f t="shared" si="1"/>
        <v>128</v>
      </c>
    </row>
    <row r="134" spans="1:7" x14ac:dyDescent="0.35">
      <c r="A134" s="8">
        <v>0.18990000000000001</v>
      </c>
      <c r="B134" s="1">
        <v>113</v>
      </c>
      <c r="C134" s="5">
        <v>32406.520489211893</v>
      </c>
      <c r="D134" s="5">
        <v>209390.64151472272</v>
      </c>
      <c r="E134" s="5">
        <v>241797.16200393462</v>
      </c>
      <c r="F134" s="5">
        <v>-13199229.594185209</v>
      </c>
      <c r="G134" s="1">
        <f t="shared" si="1"/>
        <v>127</v>
      </c>
    </row>
    <row r="135" spans="1:7" x14ac:dyDescent="0.35">
      <c r="A135" s="8">
        <v>0.18990000000000001</v>
      </c>
      <c r="B135" s="1">
        <v>114</v>
      </c>
      <c r="C135" s="5">
        <v>32919.353675953666</v>
      </c>
      <c r="D135" s="5">
        <v>208877.80832798095</v>
      </c>
      <c r="E135" s="5">
        <v>241797.16200393462</v>
      </c>
      <c r="F135" s="5">
        <v>-13166310.240509255</v>
      </c>
      <c r="G135" s="1">
        <f t="shared" si="1"/>
        <v>126</v>
      </c>
    </row>
    <row r="136" spans="1:7" x14ac:dyDescent="0.35">
      <c r="A136" s="8">
        <v>0.18990000000000001</v>
      </c>
      <c r="B136" s="1">
        <v>115</v>
      </c>
      <c r="C136" s="5">
        <v>33440.302447875642</v>
      </c>
      <c r="D136" s="5">
        <v>208356.85955605897</v>
      </c>
      <c r="E136" s="5">
        <v>241797.16200393462</v>
      </c>
      <c r="F136" s="5">
        <v>-13132869.938061379</v>
      </c>
      <c r="G136" s="1">
        <f t="shared" si="1"/>
        <v>125</v>
      </c>
    </row>
    <row r="137" spans="1:7" x14ac:dyDescent="0.35">
      <c r="A137" s="8">
        <v>0.18990000000000001</v>
      </c>
      <c r="B137" s="1">
        <v>116</v>
      </c>
      <c r="C137" s="5">
        <v>33969.495234113274</v>
      </c>
      <c r="D137" s="5">
        <v>207827.66676982134</v>
      </c>
      <c r="E137" s="5">
        <v>241797.16200393462</v>
      </c>
      <c r="F137" s="5">
        <v>-13098900.442827266</v>
      </c>
      <c r="G137" s="1">
        <f t="shared" si="1"/>
        <v>124</v>
      </c>
    </row>
    <row r="138" spans="1:7" x14ac:dyDescent="0.35">
      <c r="A138" s="8">
        <v>0.18990000000000001</v>
      </c>
      <c r="B138" s="1">
        <v>117</v>
      </c>
      <c r="C138" s="5">
        <v>34507.062496193132</v>
      </c>
      <c r="D138" s="5">
        <v>207290.09950774148</v>
      </c>
      <c r="E138" s="5">
        <v>241797.16200393462</v>
      </c>
      <c r="F138" s="5">
        <v>-13064393.380331073</v>
      </c>
      <c r="G138" s="1">
        <f t="shared" si="1"/>
        <v>123</v>
      </c>
    </row>
    <row r="139" spans="1:7" x14ac:dyDescent="0.35">
      <c r="A139" s="8">
        <v>0.18990000000000001</v>
      </c>
      <c r="B139" s="1">
        <v>118</v>
      </c>
      <c r="C139" s="5">
        <v>35053.136760195368</v>
      </c>
      <c r="D139" s="5">
        <v>206744.02524373925</v>
      </c>
      <c r="E139" s="5">
        <v>241797.16200393462</v>
      </c>
      <c r="F139" s="5">
        <v>-13029340.243570877</v>
      </c>
      <c r="G139" s="1">
        <f t="shared" si="1"/>
        <v>122</v>
      </c>
    </row>
    <row r="140" spans="1:7" x14ac:dyDescent="0.35">
      <c r="A140" s="8">
        <v>0.18990000000000001</v>
      </c>
      <c r="B140" s="1">
        <v>119</v>
      </c>
      <c r="C140" s="5">
        <v>35607.852649425477</v>
      </c>
      <c r="D140" s="5">
        <v>206189.30935450914</v>
      </c>
      <c r="E140" s="5">
        <v>241797.16200393462</v>
      </c>
      <c r="F140" s="5">
        <v>-12993732.390921451</v>
      </c>
      <c r="G140" s="1">
        <f t="shared" si="1"/>
        <v>121</v>
      </c>
    </row>
    <row r="141" spans="1:7" x14ac:dyDescent="0.35">
      <c r="A141" s="8">
        <v>0.18990000000000001</v>
      </c>
      <c r="B141" s="1">
        <v>120</v>
      </c>
      <c r="C141" s="5">
        <v>36171.346917602641</v>
      </c>
      <c r="D141" s="5">
        <v>205625.81508633198</v>
      </c>
      <c r="E141" s="5">
        <v>241797.16200393462</v>
      </c>
      <c r="F141" s="5">
        <v>-12957561.044003848</v>
      </c>
      <c r="G141" s="1">
        <f t="shared" si="1"/>
        <v>120</v>
      </c>
    </row>
    <row r="142" spans="1:7" x14ac:dyDescent="0.35">
      <c r="A142" s="8">
        <v>0.18990000000000001</v>
      </c>
      <c r="B142" s="1">
        <v>121</v>
      </c>
      <c r="C142" s="5">
        <v>36743.758482573699</v>
      </c>
      <c r="D142" s="5">
        <v>205053.40352136092</v>
      </c>
      <c r="E142" s="5">
        <v>241797.16200393462</v>
      </c>
      <c r="F142" s="5">
        <v>-12920817.285521274</v>
      </c>
      <c r="G142" s="1">
        <f t="shared" si="1"/>
        <v>119</v>
      </c>
    </row>
    <row r="143" spans="1:7" x14ac:dyDescent="0.35">
      <c r="A143" s="8">
        <v>0.18990000000000001</v>
      </c>
      <c r="B143" s="1">
        <v>122</v>
      </c>
      <c r="C143" s="5">
        <v>37325.228460560436</v>
      </c>
      <c r="D143" s="5">
        <v>204471.93354337418</v>
      </c>
      <c r="E143" s="5">
        <v>241797.16200393462</v>
      </c>
      <c r="F143" s="5">
        <v>-12883492.057060715</v>
      </c>
      <c r="G143" s="1">
        <f t="shared" si="1"/>
        <v>118</v>
      </c>
    </row>
    <row r="144" spans="1:7" x14ac:dyDescent="0.35">
      <c r="A144" s="8">
        <v>0.18990000000000001</v>
      </c>
      <c r="B144" s="1">
        <v>123</v>
      </c>
      <c r="C144" s="5">
        <v>37915.900200948789</v>
      </c>
      <c r="D144" s="5">
        <v>203881.26180298583</v>
      </c>
      <c r="E144" s="5">
        <v>241797.16200393462</v>
      </c>
      <c r="F144" s="5">
        <v>-12845576.156859767</v>
      </c>
      <c r="G144" s="1">
        <f t="shared" si="1"/>
        <v>117</v>
      </c>
    </row>
    <row r="145" spans="1:7" x14ac:dyDescent="0.35">
      <c r="A145" s="8">
        <v>0.18990000000000001</v>
      </c>
      <c r="B145" s="1">
        <v>124</v>
      </c>
      <c r="C145" s="5">
        <v>38515.919321628782</v>
      </c>
      <c r="D145" s="5">
        <v>203281.24268230583</v>
      </c>
      <c r="E145" s="5">
        <v>241797.16200393462</v>
      </c>
      <c r="F145" s="5">
        <v>-12807060.237538138</v>
      </c>
      <c r="G145" s="1">
        <f t="shared" si="1"/>
        <v>116</v>
      </c>
    </row>
    <row r="146" spans="1:7" x14ac:dyDescent="0.35">
      <c r="A146" s="8">
        <v>0.18990000000000001</v>
      </c>
      <c r="B146" s="1">
        <v>125</v>
      </c>
      <c r="C146" s="5">
        <v>39125.433744893555</v>
      </c>
      <c r="D146" s="5">
        <v>202671.72825904106</v>
      </c>
      <c r="E146" s="5">
        <v>241797.16200393462</v>
      </c>
      <c r="F146" s="5">
        <v>-12767934.803793244</v>
      </c>
      <c r="G146" s="1">
        <f t="shared" si="1"/>
        <v>115</v>
      </c>
    </row>
    <row r="147" spans="1:7" x14ac:dyDescent="0.35">
      <c r="A147" s="8">
        <v>0.18990000000000001</v>
      </c>
      <c r="B147" s="1">
        <v>126</v>
      </c>
      <c r="C147" s="5">
        <v>39744.593733906513</v>
      </c>
      <c r="D147" s="5">
        <v>202052.5682700281</v>
      </c>
      <c r="E147" s="5">
        <v>241797.16200393462</v>
      </c>
      <c r="F147" s="5">
        <v>-12728190.210059337</v>
      </c>
      <c r="G147" s="1">
        <f t="shared" si="1"/>
        <v>114</v>
      </c>
    </row>
    <row r="148" spans="1:7" x14ac:dyDescent="0.35">
      <c r="A148" s="8">
        <v>0.18990000000000001</v>
      </c>
      <c r="B148" s="1">
        <v>127</v>
      </c>
      <c r="C148" s="5">
        <v>40373.55192974559</v>
      </c>
      <c r="D148" s="5">
        <v>201423.61007418903</v>
      </c>
      <c r="E148" s="5">
        <v>241797.16200393462</v>
      </c>
      <c r="F148" s="5">
        <v>-12687816.658129591</v>
      </c>
      <c r="G148" s="1">
        <f t="shared" si="1"/>
        <v>113</v>
      </c>
    </row>
    <row r="149" spans="1:7" x14ac:dyDescent="0.35">
      <c r="A149" s="8">
        <v>0.18990000000000001</v>
      </c>
      <c r="B149" s="1">
        <v>128</v>
      </c>
      <c r="C149" s="5">
        <v>41012.46338903383</v>
      </c>
      <c r="D149" s="5">
        <v>200784.69861490079</v>
      </c>
      <c r="E149" s="5">
        <v>241797.16200393462</v>
      </c>
      <c r="F149" s="5">
        <v>-12646804.194740558</v>
      </c>
      <c r="G149" s="1">
        <f t="shared" si="1"/>
        <v>112</v>
      </c>
    </row>
    <row r="150" spans="1:7" x14ac:dyDescent="0.35">
      <c r="A150" s="8">
        <v>0.18990000000000001</v>
      </c>
      <c r="B150" s="1">
        <v>129</v>
      </c>
      <c r="C150" s="5">
        <v>41661.485622165259</v>
      </c>
      <c r="D150" s="5">
        <v>200135.67638176936</v>
      </c>
      <c r="E150" s="5">
        <v>241797.16200393462</v>
      </c>
      <c r="F150" s="5">
        <v>-12605142.709118392</v>
      </c>
      <c r="G150" s="1">
        <f t="shared" si="1"/>
        <v>111</v>
      </c>
    </row>
    <row r="151" spans="1:7" x14ac:dyDescent="0.35">
      <c r="A151" s="8">
        <v>0.18990000000000001</v>
      </c>
      <c r="B151" s="1">
        <v>130</v>
      </c>
      <c r="C151" s="5">
        <v>42320.778632136033</v>
      </c>
      <c r="D151" s="5">
        <v>199476.38337179858</v>
      </c>
      <c r="E151" s="5">
        <v>241797.16200393462</v>
      </c>
      <c r="F151" s="5">
        <v>-12562821.930486256</v>
      </c>
      <c r="G151" s="1">
        <f t="shared" ref="G151:G214" si="2">IF(B151&gt;=$B$3,0,$B$3-B151)</f>
        <v>110</v>
      </c>
    </row>
    <row r="152" spans="1:7" x14ac:dyDescent="0.35">
      <c r="A152" s="8">
        <v>0.18990000000000001</v>
      </c>
      <c r="B152" s="1">
        <v>131</v>
      </c>
      <c r="C152" s="5">
        <v>42990.504953989584</v>
      </c>
      <c r="D152" s="5">
        <v>198806.65704994503</v>
      </c>
      <c r="E152" s="5">
        <v>241797.16200393462</v>
      </c>
      <c r="F152" s="5">
        <v>-12519831.425532266</v>
      </c>
      <c r="G152" s="1">
        <f t="shared" si="2"/>
        <v>109</v>
      </c>
    </row>
    <row r="153" spans="1:7" x14ac:dyDescent="0.35">
      <c r="A153" s="8">
        <v>0.18990000000000001</v>
      </c>
      <c r="B153" s="1">
        <v>132</v>
      </c>
      <c r="C153" s="5">
        <v>43670.829694886488</v>
      </c>
      <c r="D153" s="5">
        <v>198126.33230904813</v>
      </c>
      <c r="E153" s="5">
        <v>241797.16200393462</v>
      </c>
      <c r="F153" s="5">
        <v>-12476160.595837381</v>
      </c>
      <c r="G153" s="1">
        <f t="shared" si="2"/>
        <v>108</v>
      </c>
    </row>
    <row r="154" spans="1:7" x14ac:dyDescent="0.35">
      <c r="A154" s="8">
        <v>0.18990000000000001</v>
      </c>
      <c r="B154" s="1">
        <v>133</v>
      </c>
      <c r="C154" s="5">
        <v>44361.920574808057</v>
      </c>
      <c r="D154" s="5">
        <v>197435.24142912656</v>
      </c>
      <c r="E154" s="5">
        <v>241797.16200393462</v>
      </c>
      <c r="F154" s="5">
        <v>-12431798.675262572</v>
      </c>
      <c r="G154" s="1">
        <f t="shared" si="2"/>
        <v>107</v>
      </c>
    </row>
    <row r="155" spans="1:7" x14ac:dyDescent="0.35">
      <c r="A155" s="8">
        <v>0.18990000000000001</v>
      </c>
      <c r="B155" s="1">
        <v>134</v>
      </c>
      <c r="C155" s="5">
        <v>45063.947967904387</v>
      </c>
      <c r="D155" s="5">
        <v>196733.21403603023</v>
      </c>
      <c r="E155" s="5">
        <v>241797.16200393462</v>
      </c>
      <c r="F155" s="5">
        <v>-12386734.727294669</v>
      </c>
      <c r="G155" s="1">
        <f t="shared" si="2"/>
        <v>106</v>
      </c>
    </row>
    <row r="156" spans="1:7" x14ac:dyDescent="0.35">
      <c r="A156" s="8">
        <v>0.18990000000000001</v>
      </c>
      <c r="B156" s="1">
        <v>135</v>
      </c>
      <c r="C156" s="5">
        <v>45777.084944496484</v>
      </c>
      <c r="D156" s="5">
        <v>196020.07705943813</v>
      </c>
      <c r="E156" s="5">
        <v>241797.16200393462</v>
      </c>
      <c r="F156" s="5">
        <v>-12340957.642350173</v>
      </c>
      <c r="G156" s="1">
        <f t="shared" si="2"/>
        <v>105</v>
      </c>
    </row>
    <row r="157" spans="1:7" x14ac:dyDescent="0.35">
      <c r="A157" s="8">
        <v>0.18990000000000001</v>
      </c>
      <c r="B157" s="1">
        <v>136</v>
      </c>
      <c r="C157" s="5">
        <v>46501.507313743117</v>
      </c>
      <c r="D157" s="5">
        <v>195295.6546901915</v>
      </c>
      <c r="E157" s="5">
        <v>241797.16200393462</v>
      </c>
      <c r="F157" s="5">
        <v>-12294456.135036429</v>
      </c>
      <c r="G157" s="1">
        <f t="shared" si="2"/>
        <v>104</v>
      </c>
    </row>
    <row r="158" spans="1:7" x14ac:dyDescent="0.35">
      <c r="A158" s="8">
        <v>0.18990000000000001</v>
      </c>
      <c r="B158" s="1">
        <v>137</v>
      </c>
      <c r="C158" s="5">
        <v>47237.393666983116</v>
      </c>
      <c r="D158" s="5">
        <v>194559.7683369515</v>
      </c>
      <c r="E158" s="5">
        <v>241797.16200393462</v>
      </c>
      <c r="F158" s="5">
        <v>-12247218.741369447</v>
      </c>
      <c r="G158" s="1">
        <f t="shared" si="2"/>
        <v>103</v>
      </c>
    </row>
    <row r="159" spans="1:7" x14ac:dyDescent="0.35">
      <c r="A159" s="8">
        <v>0.18990000000000001</v>
      </c>
      <c r="B159" s="1">
        <v>138</v>
      </c>
      <c r="C159" s="5">
        <v>47984.925421763095</v>
      </c>
      <c r="D159" s="5">
        <v>193812.23658217152</v>
      </c>
      <c r="E159" s="5">
        <v>241797.16200393462</v>
      </c>
      <c r="F159" s="5">
        <v>-12199233.815947684</v>
      </c>
      <c r="G159" s="1">
        <f t="shared" si="2"/>
        <v>102</v>
      </c>
    </row>
    <row r="160" spans="1:7" x14ac:dyDescent="0.35">
      <c r="A160" s="8">
        <v>0.18990000000000001</v>
      </c>
      <c r="B160" s="1">
        <v>139</v>
      </c>
      <c r="C160" s="5">
        <v>48744.286866562499</v>
      </c>
      <c r="D160" s="5">
        <v>193052.87513737212</v>
      </c>
      <c r="E160" s="5">
        <v>241797.16200393462</v>
      </c>
      <c r="F160" s="5">
        <v>-12150489.529081121</v>
      </c>
      <c r="G160" s="1">
        <f t="shared" si="2"/>
        <v>101</v>
      </c>
    </row>
    <row r="161" spans="1:7" x14ac:dyDescent="0.35">
      <c r="A161" s="8">
        <v>0.18990000000000001</v>
      </c>
      <c r="B161" s="1">
        <v>140</v>
      </c>
      <c r="C161" s="5">
        <v>49515.665206225851</v>
      </c>
      <c r="D161" s="5">
        <v>192281.49679770877</v>
      </c>
      <c r="E161" s="5">
        <v>241797.16200393462</v>
      </c>
      <c r="F161" s="5">
        <v>-12100973.863874895</v>
      </c>
      <c r="G161" s="1">
        <f t="shared" si="2"/>
        <v>100</v>
      </c>
    </row>
    <row r="162" spans="1:7" x14ac:dyDescent="0.35">
      <c r="A162" s="8">
        <v>0.18990000000000001</v>
      </c>
      <c r="B162" s="1">
        <v>141</v>
      </c>
      <c r="C162" s="5">
        <v>50299.25060811438</v>
      </c>
      <c r="D162" s="5">
        <v>191497.91139582024</v>
      </c>
      <c r="E162" s="5">
        <v>241797.16200393462</v>
      </c>
      <c r="F162" s="5">
        <v>-12050674.613266781</v>
      </c>
      <c r="G162" s="1">
        <f t="shared" si="2"/>
        <v>99</v>
      </c>
    </row>
    <row r="163" spans="1:7" x14ac:dyDescent="0.35">
      <c r="A163" s="8">
        <v>0.18990000000000001</v>
      </c>
      <c r="B163" s="1">
        <v>142</v>
      </c>
      <c r="C163" s="5">
        <v>51095.236248987785</v>
      </c>
      <c r="D163" s="5">
        <v>190701.92575494683</v>
      </c>
      <c r="E163" s="5">
        <v>241797.16200393462</v>
      </c>
      <c r="F163" s="5">
        <v>-11999579.377017792</v>
      </c>
      <c r="G163" s="1">
        <f t="shared" si="2"/>
        <v>98</v>
      </c>
    </row>
    <row r="164" spans="1:7" x14ac:dyDescent="0.35">
      <c r="A164" s="8">
        <v>0.18990000000000001</v>
      </c>
      <c r="B164" s="1">
        <v>143</v>
      </c>
      <c r="C164" s="5">
        <v>51903.818362628052</v>
      </c>
      <c r="D164" s="5">
        <v>189893.34364130656</v>
      </c>
      <c r="E164" s="5">
        <v>241797.16200393462</v>
      </c>
      <c r="F164" s="5">
        <v>-11947675.558655165</v>
      </c>
      <c r="G164" s="1">
        <f t="shared" si="2"/>
        <v>97</v>
      </c>
    </row>
    <row r="165" spans="1:7" x14ac:dyDescent="0.35">
      <c r="A165" s="8">
        <v>0.18990000000000001</v>
      </c>
      <c r="B165" s="1">
        <v>144</v>
      </c>
      <c r="C165" s="5">
        <v>52725.196288216626</v>
      </c>
      <c r="D165" s="5">
        <v>189071.96571571799</v>
      </c>
      <c r="E165" s="5">
        <v>241797.16200393462</v>
      </c>
      <c r="F165" s="5">
        <v>-11894950.362366948</v>
      </c>
      <c r="G165" s="1">
        <f t="shared" si="2"/>
        <v>96</v>
      </c>
    </row>
    <row r="166" spans="1:7" x14ac:dyDescent="0.35">
      <c r="A166" s="8">
        <v>0.18990000000000001</v>
      </c>
      <c r="B166" s="1">
        <v>145</v>
      </c>
      <c r="C166" s="5">
        <v>53559.572519477661</v>
      </c>
      <c r="D166" s="5">
        <v>188237.58948445696</v>
      </c>
      <c r="E166" s="5">
        <v>241797.16200393462</v>
      </c>
      <c r="F166" s="5">
        <v>-11841390.789847471</v>
      </c>
      <c r="G166" s="1">
        <f t="shared" si="2"/>
        <v>95</v>
      </c>
    </row>
    <row r="167" spans="1:7" x14ac:dyDescent="0.35">
      <c r="A167" s="8">
        <v>0.18990000000000001</v>
      </c>
      <c r="B167" s="1">
        <v>146</v>
      </c>
      <c r="C167" s="5">
        <v>54407.152754598384</v>
      </c>
      <c r="D167" s="5">
        <v>187390.00924933623</v>
      </c>
      <c r="E167" s="5">
        <v>241797.16200393462</v>
      </c>
      <c r="F167" s="5">
        <v>-11786983.637092872</v>
      </c>
      <c r="G167" s="1">
        <f t="shared" si="2"/>
        <v>94</v>
      </c>
    </row>
    <row r="168" spans="1:7" x14ac:dyDescent="0.35">
      <c r="A168" s="8">
        <v>0.18990000000000001</v>
      </c>
      <c r="B168" s="1">
        <v>147</v>
      </c>
      <c r="C168" s="5">
        <v>55268.145946939912</v>
      </c>
      <c r="D168" s="5">
        <v>186529.0160569947</v>
      </c>
      <c r="E168" s="5">
        <v>241797.16200393462</v>
      </c>
      <c r="F168" s="5">
        <v>-11731715.491145931</v>
      </c>
      <c r="G168" s="1">
        <f t="shared" si="2"/>
        <v>93</v>
      </c>
    </row>
    <row r="169" spans="1:7" x14ac:dyDescent="0.35">
      <c r="A169" s="8">
        <v>0.18990000000000001</v>
      </c>
      <c r="B169" s="1">
        <v>148</v>
      </c>
      <c r="C169" s="5">
        <v>56142.764356550237</v>
      </c>
      <c r="D169" s="5">
        <v>185654.39764738438</v>
      </c>
      <c r="E169" s="5">
        <v>241797.16200393462</v>
      </c>
      <c r="F169" s="5">
        <v>-11675572.726789381</v>
      </c>
      <c r="G169" s="1">
        <f t="shared" si="2"/>
        <v>92</v>
      </c>
    </row>
    <row r="170" spans="1:7" x14ac:dyDescent="0.35">
      <c r="A170" s="8">
        <v>0.18990000000000001</v>
      </c>
      <c r="B170" s="1">
        <v>149</v>
      </c>
      <c r="C170" s="5">
        <v>57031.223602492653</v>
      </c>
      <c r="D170" s="5">
        <v>184765.93840144196</v>
      </c>
      <c r="E170" s="5">
        <v>241797.16200393462</v>
      </c>
      <c r="F170" s="5">
        <v>-11618541.503186889</v>
      </c>
      <c r="G170" s="1">
        <f t="shared" si="2"/>
        <v>91</v>
      </c>
    </row>
    <row r="171" spans="1:7" x14ac:dyDescent="0.35">
      <c r="A171" s="8">
        <v>0.18990000000000001</v>
      </c>
      <c r="B171" s="1">
        <v>150</v>
      </c>
      <c r="C171" s="5">
        <v>57933.742716002074</v>
      </c>
      <c r="D171" s="5">
        <v>183863.41928793254</v>
      </c>
      <c r="E171" s="5">
        <v>241797.16200393462</v>
      </c>
      <c r="F171" s="5">
        <v>-11560607.760470888</v>
      </c>
      <c r="G171" s="1">
        <f t="shared" si="2"/>
        <v>90</v>
      </c>
    </row>
    <row r="172" spans="1:7" x14ac:dyDescent="0.35">
      <c r="A172" s="8">
        <v>0.18990000000000001</v>
      </c>
      <c r="B172" s="1">
        <v>151</v>
      </c>
      <c r="C172" s="5">
        <v>58850.54419448282</v>
      </c>
      <c r="D172" s="5">
        <v>182946.6178094518</v>
      </c>
      <c r="E172" s="5">
        <v>241797.16200393462</v>
      </c>
      <c r="F172" s="5">
        <v>-11501757.216276405</v>
      </c>
      <c r="G172" s="1">
        <f t="shared" si="2"/>
        <v>89</v>
      </c>
    </row>
    <row r="173" spans="1:7" x14ac:dyDescent="0.35">
      <c r="A173" s="8">
        <v>0.18990000000000001</v>
      </c>
      <c r="B173" s="1">
        <v>152</v>
      </c>
      <c r="C173" s="5">
        <v>59781.854056360491</v>
      </c>
      <c r="D173" s="5">
        <v>182015.30794757413</v>
      </c>
      <c r="E173" s="5">
        <v>241797.16200393462</v>
      </c>
      <c r="F173" s="5">
        <v>-11441975.362220045</v>
      </c>
      <c r="G173" s="1">
        <f t="shared" si="2"/>
        <v>88</v>
      </c>
    </row>
    <row r="174" spans="1:7" x14ac:dyDescent="0.35">
      <c r="A174" s="8">
        <v>0.18990000000000001</v>
      </c>
      <c r="B174" s="1">
        <v>153</v>
      </c>
      <c r="C174" s="5">
        <v>60727.901896802388</v>
      </c>
      <c r="D174" s="5">
        <v>181069.26010713223</v>
      </c>
      <c r="E174" s="5">
        <v>241797.16200393462</v>
      </c>
      <c r="F174" s="5">
        <v>-11381247.460323242</v>
      </c>
      <c r="G174" s="1">
        <f t="shared" si="2"/>
        <v>87</v>
      </c>
    </row>
    <row r="175" spans="1:7" x14ac:dyDescent="0.35">
      <c r="A175" s="8">
        <v>0.18990000000000001</v>
      </c>
      <c r="B175" s="1">
        <v>154</v>
      </c>
      <c r="C175" s="5">
        <v>61688.920944319281</v>
      </c>
      <c r="D175" s="5">
        <v>180108.24105961533</v>
      </c>
      <c r="E175" s="5">
        <v>241797.16200393462</v>
      </c>
      <c r="F175" s="5">
        <v>-11319558.539378922</v>
      </c>
      <c r="G175" s="1">
        <f t="shared" si="2"/>
        <v>86</v>
      </c>
    </row>
    <row r="176" spans="1:7" x14ac:dyDescent="0.35">
      <c r="A176" s="8">
        <v>0.18990000000000001</v>
      </c>
      <c r="B176" s="1">
        <v>155</v>
      </c>
      <c r="C176" s="5">
        <v>62665.148118263169</v>
      </c>
      <c r="D176" s="5">
        <v>179132.01388567145</v>
      </c>
      <c r="E176" s="5">
        <v>241797.16200393462</v>
      </c>
      <c r="F176" s="5">
        <v>-11256893.391260659</v>
      </c>
      <c r="G176" s="1">
        <f t="shared" si="2"/>
        <v>85</v>
      </c>
    </row>
    <row r="177" spans="1:7" x14ac:dyDescent="0.35">
      <c r="A177" s="8">
        <v>0.18990000000000001</v>
      </c>
      <c r="B177" s="1">
        <v>156</v>
      </c>
      <c r="C177" s="5">
        <v>63656.82408723468</v>
      </c>
      <c r="D177" s="5">
        <v>178140.33791669994</v>
      </c>
      <c r="E177" s="5">
        <v>241797.16200393462</v>
      </c>
      <c r="F177" s="5">
        <v>-11193236.567173425</v>
      </c>
      <c r="G177" s="1">
        <f t="shared" si="2"/>
        <v>84</v>
      </c>
    </row>
    <row r="178" spans="1:7" x14ac:dyDescent="0.35">
      <c r="A178" s="8">
        <v>0.18990000000000001</v>
      </c>
      <c r="B178" s="1">
        <v>157</v>
      </c>
      <c r="C178" s="5">
        <v>64664.19332841516</v>
      </c>
      <c r="D178" s="5">
        <v>177132.96867551946</v>
      </c>
      <c r="E178" s="5">
        <v>241797.16200393462</v>
      </c>
      <c r="F178" s="5">
        <v>-11128572.373845009</v>
      </c>
      <c r="G178" s="1">
        <f t="shared" si="2"/>
        <v>83</v>
      </c>
    </row>
    <row r="179" spans="1:7" x14ac:dyDescent="0.35">
      <c r="A179" s="8">
        <v>0.18990000000000001</v>
      </c>
      <c r="B179" s="1">
        <v>158</v>
      </c>
      <c r="C179" s="5">
        <v>65687.50418783733</v>
      </c>
      <c r="D179" s="5">
        <v>176109.65781609729</v>
      </c>
      <c r="E179" s="5">
        <v>241797.16200393462</v>
      </c>
      <c r="F179" s="5">
        <v>-11062884.869657172</v>
      </c>
      <c r="G179" s="1">
        <f t="shared" si="2"/>
        <v>82</v>
      </c>
    </row>
    <row r="180" spans="1:7" x14ac:dyDescent="0.35">
      <c r="A180" s="8">
        <v>0.18990000000000001</v>
      </c>
      <c r="B180" s="1">
        <v>159</v>
      </c>
      <c r="C180" s="5">
        <v>66727.008941609849</v>
      </c>
      <c r="D180" s="5">
        <v>175070.15306232477</v>
      </c>
      <c r="E180" s="5">
        <v>241797.16200393462</v>
      </c>
      <c r="F180" s="5">
        <v>-10996157.860715562</v>
      </c>
      <c r="G180" s="1">
        <f t="shared" si="2"/>
        <v>81</v>
      </c>
    </row>
    <row r="181" spans="1:7" x14ac:dyDescent="0.35">
      <c r="A181" s="8">
        <v>0.18990000000000001</v>
      </c>
      <c r="B181" s="1">
        <v>160</v>
      </c>
      <c r="C181" s="5">
        <v>67782.96385811083</v>
      </c>
      <c r="D181" s="5">
        <v>174014.19814582379</v>
      </c>
      <c r="E181" s="5">
        <v>241797.16200393462</v>
      </c>
      <c r="F181" s="5">
        <v>-10928374.896857452</v>
      </c>
      <c r="G181" s="1">
        <f t="shared" si="2"/>
        <v>80</v>
      </c>
    </row>
    <row r="182" spans="1:7" x14ac:dyDescent="0.35">
      <c r="A182" s="8">
        <v>0.18990000000000001</v>
      </c>
      <c r="B182" s="1">
        <v>161</v>
      </c>
      <c r="C182" s="5">
        <v>68855.629261165421</v>
      </c>
      <c r="D182" s="5">
        <v>172941.5327427692</v>
      </c>
      <c r="E182" s="5">
        <v>241797.16200393462</v>
      </c>
      <c r="F182" s="5">
        <v>-10859519.267596286</v>
      </c>
      <c r="G182" s="1">
        <f t="shared" si="2"/>
        <v>79</v>
      </c>
    </row>
    <row r="183" spans="1:7" x14ac:dyDescent="0.35">
      <c r="A183" s="8">
        <v>0.18990000000000001</v>
      </c>
      <c r="B183" s="1">
        <v>162</v>
      </c>
      <c r="C183" s="5">
        <v>69945.269594223384</v>
      </c>
      <c r="D183" s="5">
        <v>171851.89240971123</v>
      </c>
      <c r="E183" s="5">
        <v>241797.16200393462</v>
      </c>
      <c r="F183" s="5">
        <v>-10789573.998002062</v>
      </c>
      <c r="G183" s="1">
        <f t="shared" si="2"/>
        <v>78</v>
      </c>
    </row>
    <row r="184" spans="1:7" x14ac:dyDescent="0.35">
      <c r="A184" s="8">
        <v>0.18990000000000001</v>
      </c>
      <c r="B184" s="1">
        <v>163</v>
      </c>
      <c r="C184" s="5">
        <v>71052.153485551971</v>
      </c>
      <c r="D184" s="5">
        <v>170745.00851838264</v>
      </c>
      <c r="E184" s="5">
        <v>241797.16200393462</v>
      </c>
      <c r="F184" s="5">
        <v>-10718521.84451651</v>
      </c>
      <c r="G184" s="1">
        <f t="shared" si="2"/>
        <v>77</v>
      </c>
    </row>
    <row r="185" spans="1:7" x14ac:dyDescent="0.35">
      <c r="A185" s="8">
        <v>0.18990000000000001</v>
      </c>
      <c r="B185" s="1">
        <v>164</v>
      </c>
      <c r="C185" s="5">
        <v>72176.553814460844</v>
      </c>
      <c r="D185" s="5">
        <v>169620.60818947377</v>
      </c>
      <c r="E185" s="5">
        <v>241797.16200393462</v>
      </c>
      <c r="F185" s="5">
        <v>-10646345.290702049</v>
      </c>
      <c r="G185" s="1">
        <f t="shared" si="2"/>
        <v>76</v>
      </c>
    </row>
    <row r="186" spans="1:7" x14ac:dyDescent="0.35">
      <c r="A186" s="8">
        <v>0.18990000000000001</v>
      </c>
      <c r="B186" s="1">
        <v>165</v>
      </c>
      <c r="C186" s="5">
        <v>73318.747778574674</v>
      </c>
      <c r="D186" s="5">
        <v>168478.41422535994</v>
      </c>
      <c r="E186" s="5">
        <v>241797.16200393462</v>
      </c>
      <c r="F186" s="5">
        <v>-10573026.542923475</v>
      </c>
      <c r="G186" s="1">
        <f t="shared" si="2"/>
        <v>75</v>
      </c>
    </row>
    <row r="187" spans="1:7" x14ac:dyDescent="0.35">
      <c r="A187" s="8">
        <v>0.18990000000000001</v>
      </c>
      <c r="B187" s="1">
        <v>166</v>
      </c>
      <c r="C187" s="5">
        <v>74479.01696217063</v>
      </c>
      <c r="D187" s="5">
        <v>167318.14504176399</v>
      </c>
      <c r="E187" s="5">
        <v>241797.16200393462</v>
      </c>
      <c r="F187" s="5">
        <v>-10498547.525961304</v>
      </c>
      <c r="G187" s="1">
        <f t="shared" si="2"/>
        <v>74</v>
      </c>
    </row>
    <row r="188" spans="1:7" x14ac:dyDescent="0.35">
      <c r="A188" s="8">
        <v>0.18990000000000001</v>
      </c>
      <c r="B188" s="1">
        <v>167</v>
      </c>
      <c r="C188" s="5">
        <v>75657.647405596974</v>
      </c>
      <c r="D188" s="5">
        <v>166139.51459833764</v>
      </c>
      <c r="E188" s="5">
        <v>241797.16200393462</v>
      </c>
      <c r="F188" s="5">
        <v>-10422889.878555708</v>
      </c>
      <c r="G188" s="1">
        <f t="shared" si="2"/>
        <v>73</v>
      </c>
    </row>
    <row r="189" spans="1:7" x14ac:dyDescent="0.35">
      <c r="A189" s="8">
        <v>0.18990000000000001</v>
      </c>
      <c r="B189" s="1">
        <v>168</v>
      </c>
      <c r="C189" s="5">
        <v>76854.929675790539</v>
      </c>
      <c r="D189" s="5">
        <v>164942.23232814408</v>
      </c>
      <c r="E189" s="5">
        <v>241797.16200393462</v>
      </c>
      <c r="F189" s="5">
        <v>-10346034.948879916</v>
      </c>
      <c r="G189" s="1">
        <f t="shared" si="2"/>
        <v>72</v>
      </c>
    </row>
    <row r="190" spans="1:7" x14ac:dyDescent="0.35">
      <c r="A190" s="8">
        <v>0.18990000000000001</v>
      </c>
      <c r="B190" s="1">
        <v>169</v>
      </c>
      <c r="C190" s="5">
        <v>78071.158937909931</v>
      </c>
      <c r="D190" s="5">
        <v>163726.00306602468</v>
      </c>
      <c r="E190" s="5">
        <v>241797.16200393462</v>
      </c>
      <c r="F190" s="5">
        <v>-10267963.789942006</v>
      </c>
      <c r="G190" s="1">
        <f t="shared" si="2"/>
        <v>71</v>
      </c>
    </row>
    <row r="191" spans="1:7" x14ac:dyDescent="0.35">
      <c r="A191" s="8">
        <v>0.18990000000000001</v>
      </c>
      <c r="B191" s="1">
        <v>170</v>
      </c>
      <c r="C191" s="5">
        <v>79306.635028102377</v>
      </c>
      <c r="D191" s="5">
        <v>162490.52697583224</v>
      </c>
      <c r="E191" s="5">
        <v>241797.16200393462</v>
      </c>
      <c r="F191" s="5">
        <v>-10188657.154913904</v>
      </c>
      <c r="G191" s="1">
        <f t="shared" si="2"/>
        <v>70</v>
      </c>
    </row>
    <row r="192" spans="1:7" x14ac:dyDescent="0.35">
      <c r="A192" s="8">
        <v>0.18990000000000001</v>
      </c>
      <c r="B192" s="1">
        <v>171</v>
      </c>
      <c r="C192" s="5">
        <v>80561.662527422071</v>
      </c>
      <c r="D192" s="5">
        <v>161235.49947651254</v>
      </c>
      <c r="E192" s="5">
        <v>241797.16200393462</v>
      </c>
      <c r="F192" s="5">
        <v>-10108095.492386483</v>
      </c>
      <c r="G192" s="1">
        <f t="shared" si="2"/>
        <v>69</v>
      </c>
    </row>
    <row r="193" spans="1:7" x14ac:dyDescent="0.35">
      <c r="A193" s="8">
        <v>0.18990000000000001</v>
      </c>
      <c r="B193" s="1">
        <v>172</v>
      </c>
      <c r="C193" s="5">
        <v>81836.550836918526</v>
      </c>
      <c r="D193" s="5">
        <v>159960.61116701609</v>
      </c>
      <c r="E193" s="5">
        <v>241797.16200393462</v>
      </c>
      <c r="F193" s="5">
        <v>-10026258.941549564</v>
      </c>
      <c r="G193" s="1">
        <f t="shared" si="2"/>
        <v>68</v>
      </c>
    </row>
    <row r="194" spans="1:7" x14ac:dyDescent="0.35">
      <c r="A194" s="8">
        <v>0.18990000000000001</v>
      </c>
      <c r="B194" s="1">
        <v>173</v>
      </c>
      <c r="C194" s="5">
        <v>83131.614253912761</v>
      </c>
      <c r="D194" s="5">
        <v>158665.54775002185</v>
      </c>
      <c r="E194" s="5">
        <v>241797.16200393462</v>
      </c>
      <c r="F194" s="5">
        <v>-9943127.3272956517</v>
      </c>
      <c r="G194" s="1">
        <f t="shared" si="2"/>
        <v>67</v>
      </c>
    </row>
    <row r="195" spans="1:7" x14ac:dyDescent="0.35">
      <c r="A195" s="8">
        <v>0.18990000000000001</v>
      </c>
      <c r="B195" s="1">
        <v>174</v>
      </c>
      <c r="C195" s="5">
        <v>84447.172049480927</v>
      </c>
      <c r="D195" s="5">
        <v>157349.98995445369</v>
      </c>
      <c r="E195" s="5">
        <v>241797.16200393462</v>
      </c>
      <c r="F195" s="5">
        <v>-9858680.1552461702</v>
      </c>
      <c r="G195" s="1">
        <f t="shared" si="2"/>
        <v>66</v>
      </c>
    </row>
    <row r="196" spans="1:7" x14ac:dyDescent="0.35">
      <c r="A196" s="8">
        <v>0.18990000000000001</v>
      </c>
      <c r="B196" s="1">
        <v>175</v>
      </c>
      <c r="C196" s="5">
        <v>85783.548547163955</v>
      </c>
      <c r="D196" s="5">
        <v>156013.61345677066</v>
      </c>
      <c r="E196" s="5">
        <v>241797.16200393462</v>
      </c>
      <c r="F196" s="5">
        <v>-9772896.6066990066</v>
      </c>
      <c r="G196" s="1">
        <f t="shared" si="2"/>
        <v>65</v>
      </c>
    </row>
    <row r="197" spans="1:7" x14ac:dyDescent="0.35">
      <c r="A197" s="8">
        <v>0.18990000000000001</v>
      </c>
      <c r="B197" s="1">
        <v>176</v>
      </c>
      <c r="C197" s="5">
        <v>87141.073202922824</v>
      </c>
      <c r="D197" s="5">
        <v>154656.08880101179</v>
      </c>
      <c r="E197" s="5">
        <v>241797.16200393462</v>
      </c>
      <c r="F197" s="5">
        <v>-9685755.5334960837</v>
      </c>
      <c r="G197" s="1">
        <f t="shared" si="2"/>
        <v>64</v>
      </c>
    </row>
    <row r="198" spans="1:7" x14ac:dyDescent="0.35">
      <c r="A198" s="8">
        <v>0.18990000000000001</v>
      </c>
      <c r="B198" s="1">
        <v>177</v>
      </c>
      <c r="C198" s="5">
        <v>88520.080686359084</v>
      </c>
      <c r="D198" s="5">
        <v>153277.08131757553</v>
      </c>
      <c r="E198" s="5">
        <v>241797.16200393462</v>
      </c>
      <c r="F198" s="5">
        <v>-9597235.452809725</v>
      </c>
      <c r="G198" s="1">
        <f t="shared" si="2"/>
        <v>63</v>
      </c>
    </row>
    <row r="199" spans="1:7" x14ac:dyDescent="0.35">
      <c r="A199" s="8">
        <v>0.18990000000000001</v>
      </c>
      <c r="B199" s="1">
        <v>178</v>
      </c>
      <c r="C199" s="5">
        <v>89920.910963220696</v>
      </c>
      <c r="D199" s="5">
        <v>151876.25104071392</v>
      </c>
      <c r="E199" s="5">
        <v>241797.16200393462</v>
      </c>
      <c r="F199" s="5">
        <v>-9507314.5418465044</v>
      </c>
      <c r="G199" s="1">
        <f t="shared" si="2"/>
        <v>62</v>
      </c>
    </row>
    <row r="200" spans="1:7" x14ac:dyDescent="0.35">
      <c r="A200" s="8">
        <v>0.18990000000000001</v>
      </c>
      <c r="B200" s="1">
        <v>179</v>
      </c>
      <c r="C200" s="5">
        <v>91343.90937921367</v>
      </c>
      <c r="D200" s="5">
        <v>150453.25262472095</v>
      </c>
      <c r="E200" s="5">
        <v>241797.16200393462</v>
      </c>
      <c r="F200" s="5">
        <v>-9415970.6324672904</v>
      </c>
      <c r="G200" s="1">
        <f t="shared" si="2"/>
        <v>61</v>
      </c>
    </row>
    <row r="201" spans="1:7" x14ac:dyDescent="0.35">
      <c r="A201" s="8">
        <v>0.18990000000000001</v>
      </c>
      <c r="B201" s="1">
        <v>180</v>
      </c>
      <c r="C201" s="5">
        <v>92789.426745139732</v>
      </c>
      <c r="D201" s="5">
        <v>149007.73525879488</v>
      </c>
      <c r="E201" s="5">
        <v>241797.16200393462</v>
      </c>
      <c r="F201" s="5">
        <v>-9323181.2057221513</v>
      </c>
      <c r="G201" s="1">
        <f t="shared" si="2"/>
        <v>60</v>
      </c>
    </row>
    <row r="202" spans="1:7" x14ac:dyDescent="0.35">
      <c r="A202" s="8">
        <v>0.18990000000000001</v>
      </c>
      <c r="B202" s="1">
        <v>181</v>
      </c>
      <c r="C202" s="5">
        <v>94257.819423381559</v>
      </c>
      <c r="D202" s="5">
        <v>147539.34258055306</v>
      </c>
      <c r="E202" s="5">
        <v>241797.16200393462</v>
      </c>
      <c r="F202" s="5">
        <v>-9228923.3862987701</v>
      </c>
      <c r="G202" s="1">
        <f t="shared" si="2"/>
        <v>59</v>
      </c>
    </row>
    <row r="203" spans="1:7" x14ac:dyDescent="0.35">
      <c r="A203" s="8">
        <v>0.18990000000000001</v>
      </c>
      <c r="B203" s="1">
        <v>182</v>
      </c>
      <c r="C203" s="5">
        <v>95749.449415756564</v>
      </c>
      <c r="D203" s="5">
        <v>146047.71258817805</v>
      </c>
      <c r="E203" s="5">
        <v>241797.16200393462</v>
      </c>
      <c r="F203" s="5">
        <v>-9133173.9368830137</v>
      </c>
      <c r="G203" s="1">
        <f t="shared" si="2"/>
        <v>58</v>
      </c>
    </row>
    <row r="204" spans="1:7" x14ac:dyDescent="0.35">
      <c r="A204" s="8">
        <v>0.18990000000000001</v>
      </c>
      <c r="B204" s="1">
        <v>183</v>
      </c>
      <c r="C204" s="5">
        <v>97264.684452760906</v>
      </c>
      <c r="D204" s="5">
        <v>144532.47755117371</v>
      </c>
      <c r="E204" s="5">
        <v>241797.16200393462</v>
      </c>
      <c r="F204" s="5">
        <v>-9035909.2524302527</v>
      </c>
      <c r="G204" s="1">
        <f t="shared" si="2"/>
        <v>57</v>
      </c>
    </row>
    <row r="205" spans="1:7" x14ac:dyDescent="0.35">
      <c r="A205" s="8">
        <v>0.18990000000000001</v>
      </c>
      <c r="B205" s="1">
        <v>184</v>
      </c>
      <c r="C205" s="5">
        <v>98803.898084225861</v>
      </c>
      <c r="D205" s="5">
        <v>142993.26391970876</v>
      </c>
      <c r="E205" s="5">
        <v>241797.16200393462</v>
      </c>
      <c r="F205" s="5">
        <v>-8937105.3543460276</v>
      </c>
      <c r="G205" s="1">
        <f t="shared" si="2"/>
        <v>56</v>
      </c>
    </row>
    <row r="206" spans="1:7" x14ac:dyDescent="0.35">
      <c r="A206" s="8">
        <v>0.18990000000000001</v>
      </c>
      <c r="B206" s="1">
        <v>185</v>
      </c>
      <c r="C206" s="5">
        <v>100367.46977140871</v>
      </c>
      <c r="D206" s="5">
        <v>141429.69223252591</v>
      </c>
      <c r="E206" s="5">
        <v>241797.16200393462</v>
      </c>
      <c r="F206" s="5">
        <v>-8836737.8845746182</v>
      </c>
      <c r="G206" s="1">
        <f t="shared" si="2"/>
        <v>55</v>
      </c>
    </row>
    <row r="207" spans="1:7" x14ac:dyDescent="0.35">
      <c r="A207" s="8">
        <v>0.18990000000000001</v>
      </c>
      <c r="B207" s="1">
        <v>186</v>
      </c>
      <c r="C207" s="5">
        <v>101955.78498054127</v>
      </c>
      <c r="D207" s="5">
        <v>139841.37702339335</v>
      </c>
      <c r="E207" s="5">
        <v>241797.16200393462</v>
      </c>
      <c r="F207" s="5">
        <v>-8734782.0995940771</v>
      </c>
      <c r="G207" s="1">
        <f t="shared" si="2"/>
        <v>54</v>
      </c>
    </row>
    <row r="208" spans="1:7" x14ac:dyDescent="0.35">
      <c r="A208" s="8">
        <v>0.18990000000000001</v>
      </c>
      <c r="B208" s="1">
        <v>187</v>
      </c>
      <c r="C208" s="5">
        <v>103569.23527785833</v>
      </c>
      <c r="D208" s="5">
        <v>138227.92672607629</v>
      </c>
      <c r="E208" s="5">
        <v>241797.16200393462</v>
      </c>
      <c r="F208" s="5">
        <v>-8631212.8643162195</v>
      </c>
      <c r="G208" s="1">
        <f t="shared" si="2"/>
        <v>53</v>
      </c>
    </row>
    <row r="209" spans="1:7" x14ac:dyDescent="0.35">
      <c r="A209" s="8">
        <v>0.18990000000000001</v>
      </c>
      <c r="B209" s="1">
        <v>188</v>
      </c>
      <c r="C209" s="5">
        <v>105208.21842613042</v>
      </c>
      <c r="D209" s="5">
        <v>136588.9435778042</v>
      </c>
      <c r="E209" s="5">
        <v>241797.16200393462</v>
      </c>
      <c r="F209" s="5">
        <v>-8526004.6458900888</v>
      </c>
      <c r="G209" s="1">
        <f t="shared" si="2"/>
        <v>52</v>
      </c>
    </row>
    <row r="210" spans="1:7" x14ac:dyDescent="0.35">
      <c r="A210" s="8">
        <v>0.18990000000000001</v>
      </c>
      <c r="B210" s="1">
        <v>189</v>
      </c>
      <c r="C210" s="5">
        <v>106873.13848272394</v>
      </c>
      <c r="D210" s="5">
        <v>134924.02352121068</v>
      </c>
      <c r="E210" s="5">
        <v>241797.16200393462</v>
      </c>
      <c r="F210" s="5">
        <v>-8419131.5074073654</v>
      </c>
      <c r="G210" s="1">
        <f t="shared" si="2"/>
        <v>51</v>
      </c>
    </row>
    <row r="211" spans="1:7" x14ac:dyDescent="0.35">
      <c r="A211" s="8">
        <v>0.18990000000000001</v>
      </c>
      <c r="B211" s="1">
        <v>190</v>
      </c>
      <c r="C211" s="5">
        <v>108564.40589921304</v>
      </c>
      <c r="D211" s="5">
        <v>133232.75610472157</v>
      </c>
      <c r="E211" s="5">
        <v>241797.16200393462</v>
      </c>
      <c r="F211" s="5">
        <v>-8310567.1015081527</v>
      </c>
      <c r="G211" s="1">
        <f t="shared" si="2"/>
        <v>50</v>
      </c>
    </row>
    <row r="212" spans="1:7" x14ac:dyDescent="0.35">
      <c r="A212" s="8">
        <v>0.18990000000000001</v>
      </c>
      <c r="B212" s="1">
        <v>191</v>
      </c>
      <c r="C212" s="5">
        <v>110282.4376225681</v>
      </c>
      <c r="D212" s="5">
        <v>131514.72438136651</v>
      </c>
      <c r="E212" s="5">
        <v>241797.16200393462</v>
      </c>
      <c r="F212" s="5">
        <v>-8200284.6638855841</v>
      </c>
      <c r="G212" s="1">
        <f t="shared" si="2"/>
        <v>49</v>
      </c>
    </row>
    <row r="213" spans="1:7" x14ac:dyDescent="0.35">
      <c r="A213" s="8">
        <v>0.18990000000000001</v>
      </c>
      <c r="B213" s="1">
        <v>192</v>
      </c>
      <c r="C213" s="5">
        <v>112027.65719794524</v>
      </c>
      <c r="D213" s="5">
        <v>129769.50480598937</v>
      </c>
      <c r="E213" s="5">
        <v>241797.16200393462</v>
      </c>
      <c r="F213" s="5">
        <v>-8088257.0066876393</v>
      </c>
      <c r="G213" s="1">
        <f t="shared" si="2"/>
        <v>48</v>
      </c>
    </row>
    <row r="214" spans="1:7" x14ac:dyDescent="0.35">
      <c r="A214" s="8">
        <v>0.18990000000000001</v>
      </c>
      <c r="B214" s="1">
        <v>193</v>
      </c>
      <c r="C214" s="5">
        <v>113800.49487310271</v>
      </c>
      <c r="D214" s="5">
        <v>127996.66713083191</v>
      </c>
      <c r="E214" s="5">
        <v>241797.16200393462</v>
      </c>
      <c r="F214" s="5">
        <v>-7974456.5118145365</v>
      </c>
      <c r="G214" s="1">
        <f t="shared" si="2"/>
        <v>47</v>
      </c>
    </row>
    <row r="215" spans="1:7" x14ac:dyDescent="0.35">
      <c r="A215" s="8">
        <v>0.18990000000000001</v>
      </c>
      <c r="B215" s="1">
        <v>194</v>
      </c>
      <c r="C215" s="5">
        <v>115601.38770446957</v>
      </c>
      <c r="D215" s="5">
        <v>126195.77429946505</v>
      </c>
      <c r="E215" s="5">
        <v>241797.16200393462</v>
      </c>
      <c r="F215" s="5">
        <v>-7858855.1241100673</v>
      </c>
      <c r="G215" s="1">
        <f t="shared" ref="G215:G278" si="3">IF(B215&gt;=$B$3,0,$B$3-B215)</f>
        <v>46</v>
      </c>
    </row>
    <row r="216" spans="1:7" x14ac:dyDescent="0.35">
      <c r="A216" s="8">
        <v>0.18990000000000001</v>
      </c>
      <c r="B216" s="1">
        <v>195</v>
      </c>
      <c r="C216" s="5">
        <v>117430.77966489279</v>
      </c>
      <c r="D216" s="5">
        <v>124366.38233904183</v>
      </c>
      <c r="E216" s="5">
        <v>241797.16200393462</v>
      </c>
      <c r="F216" s="5">
        <v>-7741424.3444451746</v>
      </c>
      <c r="G216" s="1">
        <f t="shared" si="3"/>
        <v>45</v>
      </c>
    </row>
    <row r="217" spans="1:7" x14ac:dyDescent="0.35">
      <c r="A217" s="8">
        <v>0.18990000000000001</v>
      </c>
      <c r="B217" s="1">
        <v>196</v>
      </c>
      <c r="C217" s="5">
        <v>119289.12175308973</v>
      </c>
      <c r="D217" s="5">
        <v>122508.04025084489</v>
      </c>
      <c r="E217" s="5">
        <v>241797.16200393462</v>
      </c>
      <c r="F217" s="5">
        <v>-7622135.2226920845</v>
      </c>
      <c r="G217" s="1">
        <f t="shared" si="3"/>
        <v>44</v>
      </c>
    </row>
    <row r="218" spans="1:7" x14ac:dyDescent="0.35">
      <c r="A218" s="8">
        <v>0.18990000000000001</v>
      </c>
      <c r="B218" s="1">
        <v>197</v>
      </c>
      <c r="C218" s="5">
        <v>121176.87210483236</v>
      </c>
      <c r="D218" s="5">
        <v>120620.28989910225</v>
      </c>
      <c r="E218" s="5">
        <v>241797.16200393462</v>
      </c>
      <c r="F218" s="5">
        <v>-7500958.3505872525</v>
      </c>
      <c r="G218" s="1">
        <f t="shared" si="3"/>
        <v>43</v>
      </c>
    </row>
    <row r="219" spans="1:7" x14ac:dyDescent="0.35">
      <c r="A219" s="8">
        <v>0.18990000000000001</v>
      </c>
      <c r="B219" s="1">
        <v>198</v>
      </c>
      <c r="C219" s="5">
        <v>123094.49610589133</v>
      </c>
      <c r="D219" s="5">
        <v>118702.66589804328</v>
      </c>
      <c r="E219" s="5">
        <v>241797.16200393462</v>
      </c>
      <c r="F219" s="5">
        <v>-7377863.8544813609</v>
      </c>
      <c r="G219" s="1">
        <f t="shared" si="3"/>
        <v>42</v>
      </c>
    </row>
    <row r="220" spans="1:7" x14ac:dyDescent="0.35">
      <c r="A220" s="8">
        <v>0.18990000000000001</v>
      </c>
      <c r="B220" s="1">
        <v>199</v>
      </c>
      <c r="C220" s="5">
        <v>125042.46650676707</v>
      </c>
      <c r="D220" s="5">
        <v>116754.69549716754</v>
      </c>
      <c r="E220" s="5">
        <v>241797.16200393462</v>
      </c>
      <c r="F220" s="5">
        <v>-7252821.3879745938</v>
      </c>
      <c r="G220" s="1">
        <f t="shared" si="3"/>
        <v>41</v>
      </c>
    </row>
    <row r="221" spans="1:7" x14ac:dyDescent="0.35">
      <c r="A221" s="8">
        <v>0.18990000000000001</v>
      </c>
      <c r="B221" s="1">
        <v>200</v>
      </c>
      <c r="C221" s="5">
        <v>127021.26353923666</v>
      </c>
      <c r="D221" s="5">
        <v>114775.89846469795</v>
      </c>
      <c r="E221" s="5">
        <v>241797.16200393462</v>
      </c>
      <c r="F221" s="5">
        <v>-7125800.1244353568</v>
      </c>
      <c r="G221" s="1">
        <f t="shared" si="3"/>
        <v>40</v>
      </c>
    </row>
    <row r="222" spans="1:7" x14ac:dyDescent="0.35">
      <c r="A222" s="8">
        <v>0.18990000000000001</v>
      </c>
      <c r="B222" s="1">
        <v>201</v>
      </c>
      <c r="C222" s="5">
        <v>129031.37503474508</v>
      </c>
      <c r="D222" s="5">
        <v>112765.78696918953</v>
      </c>
      <c r="E222" s="5">
        <v>241797.16200393462</v>
      </c>
      <c r="F222" s="5">
        <v>-6996768.749400612</v>
      </c>
      <c r="G222" s="1">
        <f t="shared" si="3"/>
        <v>39</v>
      </c>
    </row>
    <row r="223" spans="1:7" x14ac:dyDescent="0.35">
      <c r="A223" s="8">
        <v>0.18990000000000001</v>
      </c>
      <c r="B223" s="1">
        <v>202</v>
      </c>
      <c r="C223" s="5">
        <v>131073.29654466992</v>
      </c>
      <c r="D223" s="5">
        <v>110723.86545926469</v>
      </c>
      <c r="E223" s="5">
        <v>241797.16200393462</v>
      </c>
      <c r="F223" s="5">
        <v>-6865695.4528559418</v>
      </c>
      <c r="G223" s="1">
        <f t="shared" si="3"/>
        <v>38</v>
      </c>
    </row>
    <row r="224" spans="1:7" x14ac:dyDescent="0.35">
      <c r="A224" s="8">
        <v>0.18990000000000001</v>
      </c>
      <c r="B224" s="1">
        <v>203</v>
      </c>
      <c r="C224" s="5">
        <v>133147.53146248934</v>
      </c>
      <c r="D224" s="5">
        <v>108649.63054144528</v>
      </c>
      <c r="E224" s="5">
        <v>241797.16200393462</v>
      </c>
      <c r="F224" s="5">
        <v>-6732547.9213934522</v>
      </c>
      <c r="G224" s="1">
        <f t="shared" si="3"/>
        <v>37</v>
      </c>
    </row>
    <row r="225" spans="1:7" x14ac:dyDescent="0.35">
      <c r="A225" s="8">
        <v>0.18990000000000001</v>
      </c>
      <c r="B225" s="1">
        <v>204</v>
      </c>
      <c r="C225" s="5">
        <v>135254.59114788321</v>
      </c>
      <c r="D225" s="5">
        <v>106542.57085605139</v>
      </c>
      <c r="E225" s="5">
        <v>241797.16200393462</v>
      </c>
      <c r="F225" s="5">
        <v>-6597293.3302455693</v>
      </c>
      <c r="G225" s="1">
        <f t="shared" si="3"/>
        <v>36</v>
      </c>
    </row>
    <row r="226" spans="1:7" x14ac:dyDescent="0.35">
      <c r="A226" s="8">
        <v>0.18990000000000001</v>
      </c>
      <c r="B226" s="1">
        <v>205</v>
      </c>
      <c r="C226" s="5">
        <v>137394.99505279848</v>
      </c>
      <c r="D226" s="5">
        <v>104402.16695113614</v>
      </c>
      <c r="E226" s="5">
        <v>241797.16200393462</v>
      </c>
      <c r="F226" s="5">
        <v>-6459898.3351927707</v>
      </c>
      <c r="G226" s="1">
        <f t="shared" si="3"/>
        <v>35</v>
      </c>
    </row>
    <row r="227" spans="1:7" x14ac:dyDescent="0.35">
      <c r="A227" s="8">
        <v>0.18990000000000001</v>
      </c>
      <c r="B227" s="1">
        <v>206</v>
      </c>
      <c r="C227" s="5">
        <v>139569.27084950902</v>
      </c>
      <c r="D227" s="5">
        <v>102227.8911544256</v>
      </c>
      <c r="E227" s="5">
        <v>241797.16200393462</v>
      </c>
      <c r="F227" s="5">
        <v>-6320329.0643432615</v>
      </c>
      <c r="G227" s="1">
        <f t="shared" si="3"/>
        <v>34</v>
      </c>
    </row>
    <row r="228" spans="1:7" x14ac:dyDescent="0.35">
      <c r="A228" s="8">
        <v>0.18990000000000001</v>
      </c>
      <c r="B228" s="1">
        <v>207</v>
      </c>
      <c r="C228" s="5">
        <v>141777.95456070249</v>
      </c>
      <c r="D228" s="5">
        <v>100019.20744323212</v>
      </c>
      <c r="E228" s="5">
        <v>241797.16200393462</v>
      </c>
      <c r="F228" s="5">
        <v>-6178551.1097825589</v>
      </c>
      <c r="G228" s="1">
        <f t="shared" si="3"/>
        <v>33</v>
      </c>
    </row>
    <row r="229" spans="1:7" x14ac:dyDescent="0.35">
      <c r="A229" s="8">
        <v>0.18990000000000001</v>
      </c>
      <c r="B229" s="1">
        <v>208</v>
      </c>
      <c r="C229" s="5">
        <v>144021.59069162561</v>
      </c>
      <c r="D229" s="5">
        <v>97775.571312308995</v>
      </c>
      <c r="E229" s="5">
        <v>241797.16200393462</v>
      </c>
      <c r="F229" s="5">
        <v>-6034529.5190909337</v>
      </c>
      <c r="G229" s="1">
        <f t="shared" si="3"/>
        <v>32</v>
      </c>
    </row>
    <row r="230" spans="1:7" x14ac:dyDescent="0.35">
      <c r="A230" s="8">
        <v>0.18990000000000001</v>
      </c>
      <c r="B230" s="1">
        <v>209</v>
      </c>
      <c r="C230" s="5">
        <v>146300.7323643206</v>
      </c>
      <c r="D230" s="5">
        <v>95496.429639614027</v>
      </c>
      <c r="E230" s="5">
        <v>241797.16200393462</v>
      </c>
      <c r="F230" s="5">
        <v>-5888228.7867266135</v>
      </c>
      <c r="G230" s="1">
        <f t="shared" si="3"/>
        <v>31</v>
      </c>
    </row>
    <row r="231" spans="1:7" x14ac:dyDescent="0.35">
      <c r="A231" s="8">
        <v>0.18990000000000001</v>
      </c>
      <c r="B231" s="1">
        <v>210</v>
      </c>
      <c r="C231" s="5">
        <v>148615.94145398596</v>
      </c>
      <c r="D231" s="5">
        <v>93181.220549948659</v>
      </c>
      <c r="E231" s="5">
        <v>241797.16200393462</v>
      </c>
      <c r="F231" s="5">
        <v>-5739612.8452726277</v>
      </c>
      <c r="G231" s="1">
        <f t="shared" si="3"/>
        <v>30</v>
      </c>
    </row>
    <row r="232" spans="1:7" x14ac:dyDescent="0.35">
      <c r="A232" s="8">
        <v>0.18990000000000001</v>
      </c>
      <c r="B232" s="1">
        <v>211</v>
      </c>
      <c r="C232" s="5">
        <v>150967.7887274953</v>
      </c>
      <c r="D232" s="5">
        <v>90829.373276439335</v>
      </c>
      <c r="E232" s="5">
        <v>241797.16200393462</v>
      </c>
      <c r="F232" s="5">
        <v>-5588645.0565451328</v>
      </c>
      <c r="G232" s="1">
        <f t="shared" si="3"/>
        <v>29</v>
      </c>
    </row>
    <row r="233" spans="1:7" x14ac:dyDescent="0.35">
      <c r="A233" s="8">
        <v>0.18990000000000001</v>
      </c>
      <c r="B233" s="1">
        <v>212</v>
      </c>
      <c r="C233" s="5">
        <v>153356.8539841079</v>
      </c>
      <c r="D233" s="5">
        <v>88440.308019826727</v>
      </c>
      <c r="E233" s="5">
        <v>241797.16200393462</v>
      </c>
      <c r="F233" s="5">
        <v>-5435288.2025610246</v>
      </c>
      <c r="G233" s="1">
        <f t="shared" si="3"/>
        <v>28</v>
      </c>
    </row>
    <row r="234" spans="1:7" x14ac:dyDescent="0.35">
      <c r="A234" s="8">
        <v>0.18990000000000001</v>
      </c>
      <c r="B234" s="1">
        <v>213</v>
      </c>
      <c r="C234" s="5">
        <v>155783.7261984064</v>
      </c>
      <c r="D234" s="5">
        <v>86013.435805528221</v>
      </c>
      <c r="E234" s="5">
        <v>241797.16200393462</v>
      </c>
      <c r="F234" s="5">
        <v>-5279504.4763626186</v>
      </c>
      <c r="G234" s="1">
        <f t="shared" si="3"/>
        <v>27</v>
      </c>
    </row>
    <row r="235" spans="1:7" x14ac:dyDescent="0.35">
      <c r="A235" s="8">
        <v>0.18990000000000001</v>
      </c>
      <c r="B235" s="1">
        <v>214</v>
      </c>
      <c r="C235" s="5">
        <v>158249.00366549619</v>
      </c>
      <c r="D235" s="5">
        <v>83548.158338438443</v>
      </c>
      <c r="E235" s="5">
        <v>241797.16200393462</v>
      </c>
      <c r="F235" s="5">
        <v>-5121255.472697122</v>
      </c>
      <c r="G235" s="1">
        <f t="shared" si="3"/>
        <v>26</v>
      </c>
    </row>
    <row r="236" spans="1:7" x14ac:dyDescent="0.35">
      <c r="A236" s="8">
        <v>0.18990000000000001</v>
      </c>
      <c r="B236" s="1">
        <v>215</v>
      </c>
      <c r="C236" s="5">
        <v>160753.29414850264</v>
      </c>
      <c r="D236" s="5">
        <v>81043.867855431963</v>
      </c>
      <c r="E236" s="5">
        <v>241797.16200393462</v>
      </c>
      <c r="F236" s="5">
        <v>-4960502.1785486192</v>
      </c>
      <c r="G236" s="1">
        <f t="shared" si="3"/>
        <v>25</v>
      </c>
    </row>
    <row r="237" spans="1:7" x14ac:dyDescent="0.35">
      <c r="A237" s="8">
        <v>0.18990000000000001</v>
      </c>
      <c r="B237" s="1">
        <v>216</v>
      </c>
      <c r="C237" s="5">
        <v>163297.21502840272</v>
      </c>
      <c r="D237" s="5">
        <v>78499.946975531901</v>
      </c>
      <c r="E237" s="5">
        <v>241797.16200393462</v>
      </c>
      <c r="F237" s="5">
        <v>-4797204.9635202168</v>
      </c>
      <c r="G237" s="1">
        <f t="shared" si="3"/>
        <v>24</v>
      </c>
    </row>
    <row r="238" spans="1:7" x14ac:dyDescent="0.35">
      <c r="A238" s="8">
        <v>0.18990000000000001</v>
      </c>
      <c r="B238" s="1">
        <v>217</v>
      </c>
      <c r="C238" s="5">
        <v>165881.39345622718</v>
      </c>
      <c r="D238" s="5">
        <v>75915.768547707441</v>
      </c>
      <c r="E238" s="5">
        <v>241797.16200393462</v>
      </c>
      <c r="F238" s="5">
        <v>-4631323.5700639896</v>
      </c>
      <c r="G238" s="1">
        <f t="shared" si="3"/>
        <v>23</v>
      </c>
    </row>
    <row r="239" spans="1:7" x14ac:dyDescent="0.35">
      <c r="A239" s="8">
        <v>0.18990000000000001</v>
      </c>
      <c r="B239" s="1">
        <v>218</v>
      </c>
      <c r="C239" s="5">
        <v>168506.46650767198</v>
      </c>
      <c r="D239" s="5">
        <v>73290.695496262648</v>
      </c>
      <c r="E239" s="5">
        <v>241797.16200393462</v>
      </c>
      <c r="F239" s="5">
        <v>-4462817.1035563173</v>
      </c>
      <c r="G239" s="1">
        <f t="shared" si="3"/>
        <v>22</v>
      </c>
    </row>
    <row r="240" spans="1:7" x14ac:dyDescent="0.35">
      <c r="A240" s="8">
        <v>0.18990000000000001</v>
      </c>
      <c r="B240" s="1">
        <v>219</v>
      </c>
      <c r="C240" s="5">
        <v>171173.08134015588</v>
      </c>
      <c r="D240" s="5">
        <v>70624.080663778732</v>
      </c>
      <c r="E240" s="5">
        <v>241797.16200393462</v>
      </c>
      <c r="F240" s="5">
        <v>-4291644.0222161617</v>
      </c>
      <c r="G240" s="1">
        <f t="shared" si="3"/>
        <v>21</v>
      </c>
    </row>
    <row r="241" spans="1:7" x14ac:dyDescent="0.35">
      <c r="A241" s="8">
        <v>0.18990000000000001</v>
      </c>
      <c r="B241" s="1">
        <v>220</v>
      </c>
      <c r="C241" s="5">
        <v>173881.89535236385</v>
      </c>
      <c r="D241" s="5">
        <v>67915.266651570768</v>
      </c>
      <c r="E241" s="5">
        <v>241797.16200393462</v>
      </c>
      <c r="F241" s="5">
        <v>-4117762.1268637977</v>
      </c>
      <c r="G241" s="1">
        <f t="shared" si="3"/>
        <v>20</v>
      </c>
    </row>
    <row r="242" spans="1:7" x14ac:dyDescent="0.35">
      <c r="A242" s="8">
        <v>0.18990000000000001</v>
      </c>
      <c r="B242" s="1">
        <v>221</v>
      </c>
      <c r="C242" s="5">
        <v>176633.57634631501</v>
      </c>
      <c r="D242" s="5">
        <v>65163.585657619602</v>
      </c>
      <c r="E242" s="5">
        <v>241797.16200393462</v>
      </c>
      <c r="F242" s="5">
        <v>-3941128.5505174827</v>
      </c>
      <c r="G242" s="1">
        <f t="shared" si="3"/>
        <v>19</v>
      </c>
    </row>
    <row r="243" spans="1:7" x14ac:dyDescent="0.35">
      <c r="A243" s="8">
        <v>0.18990000000000001</v>
      </c>
      <c r="B243" s="1">
        <v>222</v>
      </c>
      <c r="C243" s="5">
        <v>179428.80269199546</v>
      </c>
      <c r="D243" s="5">
        <v>62368.359311939166</v>
      </c>
      <c r="E243" s="5">
        <v>241797.16200393462</v>
      </c>
      <c r="F243" s="5">
        <v>-3761699.7478254871</v>
      </c>
      <c r="G243" s="1">
        <f t="shared" si="3"/>
        <v>18</v>
      </c>
    </row>
    <row r="244" spans="1:7" x14ac:dyDescent="0.35">
      <c r="A244" s="8">
        <v>0.18990000000000001</v>
      </c>
      <c r="B244" s="1">
        <v>223</v>
      </c>
      <c r="C244" s="5">
        <v>182268.26349459629</v>
      </c>
      <c r="D244" s="5">
        <v>59528.898509338338</v>
      </c>
      <c r="E244" s="5">
        <v>241797.16200393462</v>
      </c>
      <c r="F244" s="5">
        <v>-3579431.4843308907</v>
      </c>
      <c r="G244" s="1">
        <f t="shared" si="3"/>
        <v>17</v>
      </c>
    </row>
    <row r="245" spans="1:7" x14ac:dyDescent="0.35">
      <c r="A245" s="8">
        <v>0.18990000000000001</v>
      </c>
      <c r="B245" s="1">
        <v>224</v>
      </c>
      <c r="C245" s="5">
        <v>185152.65876439825</v>
      </c>
      <c r="D245" s="5">
        <v>56644.503239536352</v>
      </c>
      <c r="E245" s="5">
        <v>241797.16200393462</v>
      </c>
      <c r="F245" s="5">
        <v>-3394278.8255664925</v>
      </c>
      <c r="G245" s="1">
        <f t="shared" si="3"/>
        <v>16</v>
      </c>
    </row>
    <row r="246" spans="1:7" x14ac:dyDescent="0.35">
      <c r="A246" s="8">
        <v>0.18990000000000001</v>
      </c>
      <c r="B246" s="1">
        <v>225</v>
      </c>
      <c r="C246" s="5">
        <v>188082.69958934488</v>
      </c>
      <c r="D246" s="5">
        <v>53714.462414589747</v>
      </c>
      <c r="E246" s="5">
        <v>241797.16200393462</v>
      </c>
      <c r="F246" s="5">
        <v>-3206196.1259771478</v>
      </c>
      <c r="G246" s="1">
        <f t="shared" si="3"/>
        <v>15</v>
      </c>
    </row>
    <row r="247" spans="1:7" x14ac:dyDescent="0.35">
      <c r="A247" s="8">
        <v>0.18990000000000001</v>
      </c>
      <c r="B247" s="1">
        <v>226</v>
      </c>
      <c r="C247" s="5">
        <v>191059.10831034626</v>
      </c>
      <c r="D247" s="5">
        <v>50738.053693588365</v>
      </c>
      <c r="E247" s="5">
        <v>241797.16200393462</v>
      </c>
      <c r="F247" s="5">
        <v>-3015137.0176668018</v>
      </c>
      <c r="G247" s="1">
        <f t="shared" si="3"/>
        <v>14</v>
      </c>
    </row>
    <row r="248" spans="1:7" x14ac:dyDescent="0.35">
      <c r="A248" s="8">
        <v>0.18990000000000001</v>
      </c>
      <c r="B248" s="1">
        <v>227</v>
      </c>
      <c r="C248" s="5">
        <v>194082.61869935747</v>
      </c>
      <c r="D248" s="5">
        <v>47714.543304577142</v>
      </c>
      <c r="E248" s="5">
        <v>241797.16200393462</v>
      </c>
      <c r="F248" s="5">
        <v>-2821054.3989674444</v>
      </c>
      <c r="G248" s="1">
        <f t="shared" si="3"/>
        <v>13</v>
      </c>
    </row>
    <row r="249" spans="1:7" x14ac:dyDescent="0.35">
      <c r="A249" s="8">
        <v>0.18990000000000001</v>
      </c>
      <c r="B249" s="1">
        <v>228</v>
      </c>
      <c r="C249" s="5">
        <v>197153.97614027481</v>
      </c>
      <c r="D249" s="5">
        <v>44643.185863659812</v>
      </c>
      <c r="E249" s="5">
        <v>241797.16200393462</v>
      </c>
      <c r="F249" s="5">
        <v>-2623900.4228271698</v>
      </c>
      <c r="G249" s="1">
        <f t="shared" si="3"/>
        <v>12</v>
      </c>
    </row>
    <row r="250" spans="1:7" x14ac:dyDescent="0.35">
      <c r="A250" s="8">
        <v>0.18990000000000001</v>
      </c>
      <c r="B250" s="1">
        <v>229</v>
      </c>
      <c r="C250" s="5">
        <v>200273.93781269464</v>
      </c>
      <c r="D250" s="5">
        <v>41523.224191239962</v>
      </c>
      <c r="E250" s="5">
        <v>241797.16200393462</v>
      </c>
      <c r="F250" s="5">
        <v>-2423626.485014475</v>
      </c>
      <c r="G250" s="1">
        <f t="shared" si="3"/>
        <v>11</v>
      </c>
    </row>
    <row r="251" spans="1:7" x14ac:dyDescent="0.35">
      <c r="A251" s="8">
        <v>0.18990000000000001</v>
      </c>
      <c r="B251" s="1">
        <v>230</v>
      </c>
      <c r="C251" s="5">
        <v>203443.27287858055</v>
      </c>
      <c r="D251" s="5">
        <v>38353.889125354071</v>
      </c>
      <c r="E251" s="5">
        <v>241797.16200393462</v>
      </c>
      <c r="F251" s="5">
        <v>-2220183.2121358942</v>
      </c>
      <c r="G251" s="1">
        <f t="shared" si="3"/>
        <v>10</v>
      </c>
    </row>
    <row r="252" spans="1:7" x14ac:dyDescent="0.35">
      <c r="A252" s="8">
        <v>0.18990000000000001</v>
      </c>
      <c r="B252" s="1">
        <v>231</v>
      </c>
      <c r="C252" s="5">
        <v>206662.76267188409</v>
      </c>
      <c r="D252" s="5">
        <v>35134.399332050525</v>
      </c>
      <c r="E252" s="5">
        <v>241797.16200393462</v>
      </c>
      <c r="F252" s="5">
        <v>-2013520.4494640101</v>
      </c>
      <c r="G252" s="1">
        <f t="shared" si="3"/>
        <v>9</v>
      </c>
    </row>
    <row r="253" spans="1:7" x14ac:dyDescent="0.35">
      <c r="A253" s="8">
        <v>0.18990000000000001</v>
      </c>
      <c r="B253" s="1">
        <v>232</v>
      </c>
      <c r="C253" s="5">
        <v>209933.20089116666</v>
      </c>
      <c r="D253" s="5">
        <v>31863.96111276796</v>
      </c>
      <c r="E253" s="5">
        <v>241797.16200393462</v>
      </c>
      <c r="F253" s="5">
        <v>-1803587.2485728434</v>
      </c>
      <c r="G253" s="1">
        <f t="shared" si="3"/>
        <v>8</v>
      </c>
    </row>
    <row r="254" spans="1:7" x14ac:dyDescent="0.35">
      <c r="A254" s="8">
        <v>0.18990000000000001</v>
      </c>
      <c r="B254" s="1">
        <v>233</v>
      </c>
      <c r="C254" s="5">
        <v>213255.39379526937</v>
      </c>
      <c r="D254" s="5">
        <v>28541.768208665249</v>
      </c>
      <c r="E254" s="5">
        <v>241797.16200393462</v>
      </c>
      <c r="F254" s="5">
        <v>-1590331.8547775741</v>
      </c>
      <c r="G254" s="1">
        <f t="shared" si="3"/>
        <v>7</v>
      </c>
    </row>
    <row r="255" spans="1:7" x14ac:dyDescent="0.35">
      <c r="A255" s="8">
        <v>0.18990000000000001</v>
      </c>
      <c r="B255" s="1">
        <v>234</v>
      </c>
      <c r="C255" s="5">
        <v>216630.16040207952</v>
      </c>
      <c r="D255" s="5">
        <v>25167.00160185511</v>
      </c>
      <c r="E255" s="5">
        <v>241797.16200393462</v>
      </c>
      <c r="F255" s="5">
        <v>-1373701.6943754945</v>
      </c>
      <c r="G255" s="1">
        <f t="shared" si="3"/>
        <v>6</v>
      </c>
    </row>
    <row r="256" spans="1:7" x14ac:dyDescent="0.35">
      <c r="A256" s="8">
        <v>0.18990000000000001</v>
      </c>
      <c r="B256" s="1">
        <v>235</v>
      </c>
      <c r="C256" s="5">
        <v>220058.33269044242</v>
      </c>
      <c r="D256" s="5">
        <v>21738.829313492202</v>
      </c>
      <c r="E256" s="5">
        <v>241797.16200393462</v>
      </c>
      <c r="F256" s="5">
        <v>-1153643.361685052</v>
      </c>
      <c r="G256" s="1">
        <f t="shared" si="3"/>
        <v>5</v>
      </c>
    </row>
    <row r="257" spans="1:7" x14ac:dyDescent="0.35">
      <c r="A257" s="8">
        <v>0.18990000000000001</v>
      </c>
      <c r="B257" s="1">
        <v>236</v>
      </c>
      <c r="C257" s="5">
        <v>223540.75580526865</v>
      </c>
      <c r="D257" s="5">
        <v>18256.406198665951</v>
      </c>
      <c r="E257" s="5">
        <v>241797.16200393462</v>
      </c>
      <c r="F257" s="5">
        <v>-930102.6058797834</v>
      </c>
      <c r="G257" s="1">
        <f t="shared" si="3"/>
        <v>4</v>
      </c>
    </row>
    <row r="258" spans="1:7" x14ac:dyDescent="0.35">
      <c r="A258" s="8">
        <v>0.18990000000000001</v>
      </c>
      <c r="B258" s="1">
        <v>237</v>
      </c>
      <c r="C258" s="5">
        <v>227078.28826588704</v>
      </c>
      <c r="D258" s="5">
        <v>14718.873738047574</v>
      </c>
      <c r="E258" s="5">
        <v>241797.16200393462</v>
      </c>
      <c r="F258" s="5">
        <v>-703024.31761389633</v>
      </c>
      <c r="G258" s="1">
        <f t="shared" si="3"/>
        <v>3</v>
      </c>
    </row>
    <row r="259" spans="1:7" x14ac:dyDescent="0.35">
      <c r="A259" s="8">
        <v>0.18990000000000001</v>
      </c>
      <c r="B259" s="1">
        <v>238</v>
      </c>
      <c r="C259" s="5">
        <v>230671.80217769471</v>
      </c>
      <c r="D259" s="5">
        <v>11125.35982623991</v>
      </c>
      <c r="E259" s="5">
        <v>241797.16200393462</v>
      </c>
      <c r="F259" s="5">
        <v>-472352.51543620159</v>
      </c>
      <c r="G259" s="1">
        <f t="shared" si="3"/>
        <v>2</v>
      </c>
    </row>
    <row r="260" spans="1:7" x14ac:dyDescent="0.35">
      <c r="A260" s="8">
        <v>0.18990000000000001</v>
      </c>
      <c r="B260" s="1">
        <v>239</v>
      </c>
      <c r="C260" s="5">
        <v>234322.18344715671</v>
      </c>
      <c r="D260" s="5">
        <v>7474.9785567778908</v>
      </c>
      <c r="E260" s="5">
        <v>241797.16200393462</v>
      </c>
      <c r="F260" s="5">
        <v>-238030.33198904488</v>
      </c>
      <c r="G260" s="1">
        <f t="shared" si="3"/>
        <v>1</v>
      </c>
    </row>
    <row r="261" spans="1:7" x14ac:dyDescent="0.35">
      <c r="A261" s="8">
        <v>0.18990000000000001</v>
      </c>
      <c r="B261" s="1">
        <v>240</v>
      </c>
      <c r="C261" s="5">
        <v>238030.33198904488</v>
      </c>
      <c r="D261" s="5">
        <v>3766.8300037266354</v>
      </c>
      <c r="E261" s="5">
        <v>241797.16200393462</v>
      </c>
      <c r="F261" s="5">
        <v>0</v>
      </c>
      <c r="G261" s="1">
        <f t="shared" si="3"/>
        <v>0</v>
      </c>
    </row>
    <row r="262" spans="1:7" x14ac:dyDescent="0.35">
      <c r="A262" s="7">
        <f t="shared" ref="A262:A290" si="4">IF(AND(B262&gt;$B$6,B262&lt;=$B$3),$B$4,0)</f>
        <v>0</v>
      </c>
      <c r="B262" s="1">
        <v>241</v>
      </c>
      <c r="C262" s="5">
        <v>0</v>
      </c>
      <c r="D262" s="5">
        <v>0</v>
      </c>
      <c r="E262" s="5">
        <v>0</v>
      </c>
      <c r="F262" s="5">
        <v>0</v>
      </c>
      <c r="G262" s="1">
        <f t="shared" si="3"/>
        <v>0</v>
      </c>
    </row>
    <row r="263" spans="1:7" x14ac:dyDescent="0.35">
      <c r="A263" s="7">
        <f t="shared" si="4"/>
        <v>0</v>
      </c>
      <c r="B263" s="1">
        <v>242</v>
      </c>
      <c r="C263" s="5">
        <v>0</v>
      </c>
      <c r="D263" s="5">
        <v>0</v>
      </c>
      <c r="E263" s="5">
        <v>0</v>
      </c>
      <c r="F263" s="5">
        <v>0</v>
      </c>
      <c r="G263" s="1">
        <f t="shared" si="3"/>
        <v>0</v>
      </c>
    </row>
    <row r="264" spans="1:7" x14ac:dyDescent="0.35">
      <c r="A264" s="7">
        <f t="shared" si="4"/>
        <v>0</v>
      </c>
      <c r="B264" s="1">
        <v>243</v>
      </c>
      <c r="C264" s="5">
        <v>0</v>
      </c>
      <c r="D264" s="5">
        <v>0</v>
      </c>
      <c r="E264" s="5">
        <v>0</v>
      </c>
      <c r="F264" s="5">
        <v>0</v>
      </c>
      <c r="G264" s="1">
        <f t="shared" si="3"/>
        <v>0</v>
      </c>
    </row>
    <row r="265" spans="1:7" x14ac:dyDescent="0.35">
      <c r="A265" s="7">
        <f t="shared" si="4"/>
        <v>0</v>
      </c>
      <c r="B265" s="1">
        <v>244</v>
      </c>
      <c r="C265" s="5">
        <v>0</v>
      </c>
      <c r="D265" s="5">
        <v>0</v>
      </c>
      <c r="E265" s="5">
        <v>0</v>
      </c>
      <c r="F265" s="5">
        <v>0</v>
      </c>
      <c r="G265" s="1">
        <f t="shared" si="3"/>
        <v>0</v>
      </c>
    </row>
    <row r="266" spans="1:7" x14ac:dyDescent="0.35">
      <c r="A266" s="7">
        <f t="shared" si="4"/>
        <v>0</v>
      </c>
      <c r="B266" s="1">
        <v>245</v>
      </c>
      <c r="C266" s="5">
        <v>0</v>
      </c>
      <c r="D266" s="5">
        <v>0</v>
      </c>
      <c r="E266" s="5">
        <v>0</v>
      </c>
      <c r="F266" s="5">
        <v>0</v>
      </c>
      <c r="G266" s="1">
        <f t="shared" si="3"/>
        <v>0</v>
      </c>
    </row>
    <row r="267" spans="1:7" x14ac:dyDescent="0.35">
      <c r="A267" s="7">
        <f t="shared" si="4"/>
        <v>0</v>
      </c>
      <c r="B267" s="1">
        <v>246</v>
      </c>
      <c r="C267" s="5">
        <v>0</v>
      </c>
      <c r="D267" s="5">
        <v>0</v>
      </c>
      <c r="E267" s="5">
        <v>0</v>
      </c>
      <c r="F267" s="5">
        <v>0</v>
      </c>
      <c r="G267" s="1">
        <f t="shared" si="3"/>
        <v>0</v>
      </c>
    </row>
    <row r="268" spans="1:7" x14ac:dyDescent="0.35">
      <c r="A268" s="7">
        <f t="shared" si="4"/>
        <v>0</v>
      </c>
      <c r="B268" s="1">
        <v>247</v>
      </c>
      <c r="C268" s="5">
        <v>0</v>
      </c>
      <c r="D268" s="5">
        <v>0</v>
      </c>
      <c r="E268" s="5">
        <v>0</v>
      </c>
      <c r="F268" s="5">
        <v>0</v>
      </c>
      <c r="G268" s="1">
        <f t="shared" si="3"/>
        <v>0</v>
      </c>
    </row>
    <row r="269" spans="1:7" x14ac:dyDescent="0.35">
      <c r="A269" s="7">
        <f t="shared" si="4"/>
        <v>0</v>
      </c>
      <c r="B269" s="1">
        <v>248</v>
      </c>
      <c r="C269" s="5">
        <v>0</v>
      </c>
      <c r="D269" s="5">
        <v>0</v>
      </c>
      <c r="E269" s="5">
        <v>0</v>
      </c>
      <c r="F269" s="5">
        <v>0</v>
      </c>
      <c r="G269" s="1">
        <f t="shared" si="3"/>
        <v>0</v>
      </c>
    </row>
    <row r="270" spans="1:7" x14ac:dyDescent="0.35">
      <c r="A270" s="7">
        <f t="shared" si="4"/>
        <v>0</v>
      </c>
      <c r="B270" s="1">
        <v>249</v>
      </c>
      <c r="C270" s="5">
        <v>0</v>
      </c>
      <c r="D270" s="5">
        <v>0</v>
      </c>
      <c r="E270" s="5">
        <v>0</v>
      </c>
      <c r="F270" s="5">
        <v>0</v>
      </c>
      <c r="G270" s="1">
        <f t="shared" si="3"/>
        <v>0</v>
      </c>
    </row>
    <row r="271" spans="1:7" x14ac:dyDescent="0.35">
      <c r="A271" s="7">
        <f t="shared" si="4"/>
        <v>0</v>
      </c>
      <c r="B271" s="1">
        <v>250</v>
      </c>
      <c r="C271" s="5">
        <v>0</v>
      </c>
      <c r="D271" s="5">
        <v>0</v>
      </c>
      <c r="E271" s="5">
        <v>0</v>
      </c>
      <c r="F271" s="5">
        <v>0</v>
      </c>
      <c r="G271" s="1">
        <f t="shared" si="3"/>
        <v>0</v>
      </c>
    </row>
    <row r="272" spans="1:7" x14ac:dyDescent="0.35">
      <c r="A272" s="7">
        <f t="shared" si="4"/>
        <v>0</v>
      </c>
      <c r="B272" s="1">
        <v>251</v>
      </c>
      <c r="C272" s="5">
        <v>0</v>
      </c>
      <c r="D272" s="5">
        <v>0</v>
      </c>
      <c r="E272" s="5">
        <v>0</v>
      </c>
      <c r="F272" s="5">
        <v>0</v>
      </c>
      <c r="G272" s="1">
        <f t="shared" si="3"/>
        <v>0</v>
      </c>
    </row>
    <row r="273" spans="1:7" x14ac:dyDescent="0.35">
      <c r="A273" s="7">
        <f t="shared" si="4"/>
        <v>0</v>
      </c>
      <c r="B273" s="1">
        <v>252</v>
      </c>
      <c r="C273" s="5">
        <v>0</v>
      </c>
      <c r="D273" s="5">
        <v>0</v>
      </c>
      <c r="E273" s="5">
        <v>0</v>
      </c>
      <c r="F273" s="5">
        <v>0</v>
      </c>
      <c r="G273" s="1">
        <f t="shared" si="3"/>
        <v>0</v>
      </c>
    </row>
    <row r="274" spans="1:7" x14ac:dyDescent="0.35">
      <c r="A274" s="7">
        <f t="shared" si="4"/>
        <v>0</v>
      </c>
      <c r="B274" s="1">
        <v>253</v>
      </c>
      <c r="C274" s="5">
        <v>0</v>
      </c>
      <c r="D274" s="5">
        <v>0</v>
      </c>
      <c r="E274" s="5">
        <v>0</v>
      </c>
      <c r="F274" s="5">
        <v>0</v>
      </c>
      <c r="G274" s="1">
        <f t="shared" si="3"/>
        <v>0</v>
      </c>
    </row>
    <row r="275" spans="1:7" x14ac:dyDescent="0.35">
      <c r="A275" s="7">
        <f t="shared" si="4"/>
        <v>0</v>
      </c>
      <c r="B275" s="1">
        <v>254</v>
      </c>
      <c r="C275" s="5">
        <v>0</v>
      </c>
      <c r="D275" s="5">
        <v>0</v>
      </c>
      <c r="E275" s="5">
        <v>0</v>
      </c>
      <c r="F275" s="5">
        <v>0</v>
      </c>
      <c r="G275" s="1">
        <f t="shared" si="3"/>
        <v>0</v>
      </c>
    </row>
    <row r="276" spans="1:7" x14ac:dyDescent="0.35">
      <c r="A276" s="7">
        <f t="shared" si="4"/>
        <v>0</v>
      </c>
      <c r="B276" s="1">
        <v>255</v>
      </c>
      <c r="C276" s="5">
        <v>0</v>
      </c>
      <c r="D276" s="5">
        <v>0</v>
      </c>
      <c r="E276" s="5">
        <v>0</v>
      </c>
      <c r="F276" s="5">
        <v>0</v>
      </c>
      <c r="G276" s="1">
        <f t="shared" si="3"/>
        <v>0</v>
      </c>
    </row>
    <row r="277" spans="1:7" x14ac:dyDescent="0.35">
      <c r="A277" s="7">
        <f t="shared" si="4"/>
        <v>0</v>
      </c>
      <c r="B277" s="1">
        <v>256</v>
      </c>
      <c r="C277" s="5">
        <v>0</v>
      </c>
      <c r="D277" s="5">
        <v>0</v>
      </c>
      <c r="E277" s="5">
        <v>0</v>
      </c>
      <c r="F277" s="5">
        <v>0</v>
      </c>
      <c r="G277" s="1">
        <f t="shared" si="3"/>
        <v>0</v>
      </c>
    </row>
    <row r="278" spans="1:7" x14ac:dyDescent="0.35">
      <c r="A278" s="7">
        <f t="shared" si="4"/>
        <v>0</v>
      </c>
      <c r="B278" s="1">
        <v>257</v>
      </c>
      <c r="C278" s="5">
        <v>0</v>
      </c>
      <c r="D278" s="5">
        <v>0</v>
      </c>
      <c r="E278" s="5">
        <v>0</v>
      </c>
      <c r="F278" s="5">
        <v>0</v>
      </c>
      <c r="G278" s="1">
        <f t="shared" si="3"/>
        <v>0</v>
      </c>
    </row>
    <row r="279" spans="1:7" x14ac:dyDescent="0.35">
      <c r="A279" s="7">
        <f t="shared" si="4"/>
        <v>0</v>
      </c>
      <c r="B279" s="1">
        <v>258</v>
      </c>
      <c r="C279" s="5">
        <v>0</v>
      </c>
      <c r="D279" s="5">
        <v>0</v>
      </c>
      <c r="E279" s="5">
        <v>0</v>
      </c>
      <c r="F279" s="5">
        <v>0</v>
      </c>
      <c r="G279" s="1">
        <f t="shared" ref="G279:G342" si="5">IF(B279&gt;=$B$3,0,$B$3-B279)</f>
        <v>0</v>
      </c>
    </row>
    <row r="280" spans="1:7" x14ac:dyDescent="0.35">
      <c r="A280" s="7">
        <f t="shared" si="4"/>
        <v>0</v>
      </c>
      <c r="B280" s="1">
        <v>259</v>
      </c>
      <c r="C280" s="5">
        <v>0</v>
      </c>
      <c r="D280" s="5">
        <v>0</v>
      </c>
      <c r="E280" s="5">
        <v>0</v>
      </c>
      <c r="F280" s="5">
        <v>0</v>
      </c>
      <c r="G280" s="1">
        <f t="shared" si="5"/>
        <v>0</v>
      </c>
    </row>
    <row r="281" spans="1:7" x14ac:dyDescent="0.35">
      <c r="A281" s="7">
        <f t="shared" si="4"/>
        <v>0</v>
      </c>
      <c r="B281" s="1">
        <v>260</v>
      </c>
      <c r="C281" s="5">
        <v>0</v>
      </c>
      <c r="D281" s="5">
        <v>0</v>
      </c>
      <c r="E281" s="5">
        <v>0</v>
      </c>
      <c r="F281" s="5">
        <v>0</v>
      </c>
      <c r="G281" s="1">
        <f t="shared" si="5"/>
        <v>0</v>
      </c>
    </row>
    <row r="282" spans="1:7" x14ac:dyDescent="0.35">
      <c r="A282" s="7">
        <f t="shared" si="4"/>
        <v>0</v>
      </c>
      <c r="B282" s="1">
        <v>261</v>
      </c>
      <c r="C282" s="5">
        <v>0</v>
      </c>
      <c r="D282" s="5">
        <v>0</v>
      </c>
      <c r="E282" s="5">
        <v>0</v>
      </c>
      <c r="F282" s="5">
        <v>0</v>
      </c>
      <c r="G282" s="1">
        <f t="shared" si="5"/>
        <v>0</v>
      </c>
    </row>
    <row r="283" spans="1:7" x14ac:dyDescent="0.35">
      <c r="A283" s="7">
        <f t="shared" si="4"/>
        <v>0</v>
      </c>
      <c r="B283" s="1">
        <v>262</v>
      </c>
      <c r="C283" s="5">
        <v>0</v>
      </c>
      <c r="D283" s="5">
        <v>0</v>
      </c>
      <c r="E283" s="5">
        <v>0</v>
      </c>
      <c r="F283" s="5">
        <v>0</v>
      </c>
      <c r="G283" s="1">
        <f t="shared" si="5"/>
        <v>0</v>
      </c>
    </row>
    <row r="284" spans="1:7" x14ac:dyDescent="0.35">
      <c r="A284" s="7">
        <f t="shared" si="4"/>
        <v>0</v>
      </c>
      <c r="B284" s="1">
        <v>263</v>
      </c>
      <c r="C284" s="5">
        <v>0</v>
      </c>
      <c r="D284" s="5">
        <v>0</v>
      </c>
      <c r="E284" s="5">
        <v>0</v>
      </c>
      <c r="F284" s="5">
        <v>0</v>
      </c>
      <c r="G284" s="1">
        <f t="shared" si="5"/>
        <v>0</v>
      </c>
    </row>
    <row r="285" spans="1:7" x14ac:dyDescent="0.35">
      <c r="A285" s="7">
        <f t="shared" si="4"/>
        <v>0</v>
      </c>
      <c r="B285" s="1">
        <v>264</v>
      </c>
      <c r="C285" s="5">
        <v>0</v>
      </c>
      <c r="D285" s="5">
        <v>0</v>
      </c>
      <c r="E285" s="5">
        <v>0</v>
      </c>
      <c r="F285" s="5">
        <v>0</v>
      </c>
      <c r="G285" s="1">
        <f t="shared" si="5"/>
        <v>0</v>
      </c>
    </row>
    <row r="286" spans="1:7" x14ac:dyDescent="0.35">
      <c r="A286" s="7">
        <f t="shared" si="4"/>
        <v>0</v>
      </c>
      <c r="B286" s="1">
        <v>265</v>
      </c>
      <c r="C286" s="5">
        <v>0</v>
      </c>
      <c r="D286" s="5">
        <v>0</v>
      </c>
      <c r="E286" s="5">
        <v>0</v>
      </c>
      <c r="F286" s="5">
        <v>0</v>
      </c>
      <c r="G286" s="1">
        <f t="shared" si="5"/>
        <v>0</v>
      </c>
    </row>
    <row r="287" spans="1:7" x14ac:dyDescent="0.35">
      <c r="A287" s="7">
        <f t="shared" si="4"/>
        <v>0</v>
      </c>
      <c r="B287" s="1">
        <v>266</v>
      </c>
      <c r="C287" s="5">
        <v>0</v>
      </c>
      <c r="D287" s="5">
        <v>0</v>
      </c>
      <c r="E287" s="5">
        <v>0</v>
      </c>
      <c r="F287" s="5">
        <v>0</v>
      </c>
      <c r="G287" s="1">
        <f t="shared" si="5"/>
        <v>0</v>
      </c>
    </row>
    <row r="288" spans="1:7" x14ac:dyDescent="0.35">
      <c r="A288" s="7">
        <f t="shared" si="4"/>
        <v>0</v>
      </c>
      <c r="B288" s="1">
        <v>267</v>
      </c>
      <c r="C288" s="5">
        <v>0</v>
      </c>
      <c r="D288" s="5">
        <v>0</v>
      </c>
      <c r="E288" s="5">
        <v>0</v>
      </c>
      <c r="F288" s="5">
        <v>0</v>
      </c>
      <c r="G288" s="1">
        <f t="shared" si="5"/>
        <v>0</v>
      </c>
    </row>
    <row r="289" spans="1:7" x14ac:dyDescent="0.35">
      <c r="A289" s="7">
        <f t="shared" si="4"/>
        <v>0</v>
      </c>
      <c r="B289" s="1">
        <v>268</v>
      </c>
      <c r="C289" s="5">
        <v>0</v>
      </c>
      <c r="D289" s="5">
        <v>0</v>
      </c>
      <c r="E289" s="5">
        <v>0</v>
      </c>
      <c r="F289" s="5">
        <v>0</v>
      </c>
      <c r="G289" s="1">
        <f t="shared" si="5"/>
        <v>0</v>
      </c>
    </row>
    <row r="290" spans="1:7" x14ac:dyDescent="0.35">
      <c r="A290" s="7">
        <f t="shared" si="4"/>
        <v>0</v>
      </c>
      <c r="B290" s="1">
        <v>269</v>
      </c>
      <c r="C290" s="5">
        <v>0</v>
      </c>
      <c r="D290" s="5">
        <v>0</v>
      </c>
      <c r="E290" s="5">
        <v>0</v>
      </c>
      <c r="F290" s="5">
        <v>0</v>
      </c>
      <c r="G290" s="1">
        <f t="shared" si="5"/>
        <v>0</v>
      </c>
    </row>
    <row r="291" spans="1:7" x14ac:dyDescent="0.35">
      <c r="A291" s="7">
        <f t="shared" ref="A291:A354" si="6">IF(AND(B291&gt;$B$6,B291&lt;=$B$3),$B$4,0)</f>
        <v>0</v>
      </c>
      <c r="B291" s="1">
        <v>270</v>
      </c>
      <c r="C291" s="5">
        <v>0</v>
      </c>
      <c r="D291" s="5">
        <v>0</v>
      </c>
      <c r="E291" s="5">
        <v>0</v>
      </c>
      <c r="F291" s="5">
        <v>0</v>
      </c>
      <c r="G291" s="1">
        <f t="shared" si="5"/>
        <v>0</v>
      </c>
    </row>
    <row r="292" spans="1:7" x14ac:dyDescent="0.35">
      <c r="A292" s="7">
        <f t="shared" si="6"/>
        <v>0</v>
      </c>
      <c r="B292" s="1">
        <v>271</v>
      </c>
      <c r="C292" s="5">
        <v>0</v>
      </c>
      <c r="D292" s="5">
        <v>0</v>
      </c>
      <c r="E292" s="5">
        <v>0</v>
      </c>
      <c r="F292" s="5">
        <v>0</v>
      </c>
      <c r="G292" s="1">
        <f t="shared" si="5"/>
        <v>0</v>
      </c>
    </row>
    <row r="293" spans="1:7" x14ac:dyDescent="0.35">
      <c r="A293" s="7">
        <f t="shared" si="6"/>
        <v>0</v>
      </c>
      <c r="B293" s="1">
        <v>272</v>
      </c>
      <c r="C293" s="5">
        <v>0</v>
      </c>
      <c r="D293" s="5">
        <v>0</v>
      </c>
      <c r="E293" s="5">
        <v>0</v>
      </c>
      <c r="F293" s="5">
        <v>0</v>
      </c>
      <c r="G293" s="1">
        <f t="shared" si="5"/>
        <v>0</v>
      </c>
    </row>
    <row r="294" spans="1:7" x14ac:dyDescent="0.35">
      <c r="A294" s="7">
        <f t="shared" si="6"/>
        <v>0</v>
      </c>
      <c r="B294" s="1">
        <v>273</v>
      </c>
      <c r="C294" s="5">
        <v>0</v>
      </c>
      <c r="D294" s="5">
        <v>0</v>
      </c>
      <c r="E294" s="5">
        <v>0</v>
      </c>
      <c r="F294" s="5">
        <v>0</v>
      </c>
      <c r="G294" s="1">
        <f t="shared" si="5"/>
        <v>0</v>
      </c>
    </row>
    <row r="295" spans="1:7" x14ac:dyDescent="0.35">
      <c r="A295" s="7">
        <f t="shared" si="6"/>
        <v>0</v>
      </c>
      <c r="B295" s="1">
        <v>274</v>
      </c>
      <c r="C295" s="5">
        <v>0</v>
      </c>
      <c r="D295" s="5">
        <v>0</v>
      </c>
      <c r="E295" s="5">
        <v>0</v>
      </c>
      <c r="F295" s="5">
        <v>0</v>
      </c>
      <c r="G295" s="1">
        <f t="shared" si="5"/>
        <v>0</v>
      </c>
    </row>
    <row r="296" spans="1:7" x14ac:dyDescent="0.35">
      <c r="A296" s="7">
        <f t="shared" si="6"/>
        <v>0</v>
      </c>
      <c r="B296" s="1">
        <v>275</v>
      </c>
      <c r="C296" s="5">
        <v>0</v>
      </c>
      <c r="D296" s="5">
        <v>0</v>
      </c>
      <c r="E296" s="5">
        <v>0</v>
      </c>
      <c r="F296" s="5">
        <v>0</v>
      </c>
      <c r="G296" s="1">
        <f t="shared" si="5"/>
        <v>0</v>
      </c>
    </row>
    <row r="297" spans="1:7" x14ac:dyDescent="0.35">
      <c r="A297" s="7">
        <f t="shared" si="6"/>
        <v>0</v>
      </c>
      <c r="B297" s="1">
        <v>276</v>
      </c>
      <c r="C297" s="5">
        <v>0</v>
      </c>
      <c r="D297" s="5">
        <v>0</v>
      </c>
      <c r="E297" s="5">
        <v>0</v>
      </c>
      <c r="F297" s="5">
        <v>0</v>
      </c>
      <c r="G297" s="1">
        <f t="shared" si="5"/>
        <v>0</v>
      </c>
    </row>
    <row r="298" spans="1:7" x14ac:dyDescent="0.35">
      <c r="A298" s="7">
        <f t="shared" si="6"/>
        <v>0</v>
      </c>
      <c r="B298" s="1">
        <v>277</v>
      </c>
      <c r="C298" s="5">
        <v>0</v>
      </c>
      <c r="D298" s="5">
        <v>0</v>
      </c>
      <c r="E298" s="5">
        <v>0</v>
      </c>
      <c r="F298" s="5">
        <v>0</v>
      </c>
      <c r="G298" s="1">
        <f t="shared" si="5"/>
        <v>0</v>
      </c>
    </row>
    <row r="299" spans="1:7" x14ac:dyDescent="0.35">
      <c r="A299" s="7">
        <f t="shared" si="6"/>
        <v>0</v>
      </c>
      <c r="B299" s="1">
        <v>278</v>
      </c>
      <c r="C299" s="5">
        <v>0</v>
      </c>
      <c r="D299" s="5">
        <v>0</v>
      </c>
      <c r="E299" s="5">
        <v>0</v>
      </c>
      <c r="F299" s="5">
        <v>0</v>
      </c>
      <c r="G299" s="1">
        <f t="shared" si="5"/>
        <v>0</v>
      </c>
    </row>
    <row r="300" spans="1:7" x14ac:dyDescent="0.35">
      <c r="A300" s="7">
        <f t="shared" si="6"/>
        <v>0</v>
      </c>
      <c r="B300" s="1">
        <v>279</v>
      </c>
      <c r="C300" s="5">
        <v>0</v>
      </c>
      <c r="D300" s="5">
        <v>0</v>
      </c>
      <c r="E300" s="5">
        <v>0</v>
      </c>
      <c r="F300" s="5">
        <v>0</v>
      </c>
      <c r="G300" s="1">
        <f t="shared" si="5"/>
        <v>0</v>
      </c>
    </row>
    <row r="301" spans="1:7" x14ac:dyDescent="0.35">
      <c r="A301" s="7">
        <f t="shared" si="6"/>
        <v>0</v>
      </c>
      <c r="B301" s="1">
        <v>280</v>
      </c>
      <c r="C301" s="5">
        <v>0</v>
      </c>
      <c r="D301" s="5">
        <v>0</v>
      </c>
      <c r="E301" s="5">
        <v>0</v>
      </c>
      <c r="F301" s="5">
        <v>0</v>
      </c>
      <c r="G301" s="1">
        <f t="shared" si="5"/>
        <v>0</v>
      </c>
    </row>
    <row r="302" spans="1:7" x14ac:dyDescent="0.35">
      <c r="A302" s="7">
        <f t="shared" si="6"/>
        <v>0</v>
      </c>
      <c r="B302" s="1">
        <v>281</v>
      </c>
      <c r="C302" s="5">
        <v>0</v>
      </c>
      <c r="D302" s="5">
        <v>0</v>
      </c>
      <c r="E302" s="5">
        <v>0</v>
      </c>
      <c r="F302" s="5">
        <v>0</v>
      </c>
      <c r="G302" s="1">
        <f t="shared" si="5"/>
        <v>0</v>
      </c>
    </row>
    <row r="303" spans="1:7" x14ac:dyDescent="0.35">
      <c r="A303" s="7">
        <f t="shared" si="6"/>
        <v>0</v>
      </c>
      <c r="B303" s="1">
        <v>282</v>
      </c>
      <c r="C303" s="5">
        <v>0</v>
      </c>
      <c r="D303" s="5">
        <v>0</v>
      </c>
      <c r="E303" s="5">
        <v>0</v>
      </c>
      <c r="F303" s="5">
        <v>0</v>
      </c>
      <c r="G303" s="1">
        <f t="shared" si="5"/>
        <v>0</v>
      </c>
    </row>
    <row r="304" spans="1:7" x14ac:dyDescent="0.35">
      <c r="A304" s="7">
        <f t="shared" si="6"/>
        <v>0</v>
      </c>
      <c r="B304" s="1">
        <v>283</v>
      </c>
      <c r="C304" s="5">
        <v>0</v>
      </c>
      <c r="D304" s="5">
        <v>0</v>
      </c>
      <c r="E304" s="5">
        <v>0</v>
      </c>
      <c r="F304" s="5">
        <v>0</v>
      </c>
      <c r="G304" s="1">
        <f t="shared" si="5"/>
        <v>0</v>
      </c>
    </row>
    <row r="305" spans="1:7" x14ac:dyDescent="0.35">
      <c r="A305" s="7">
        <f t="shared" si="6"/>
        <v>0</v>
      </c>
      <c r="B305" s="1">
        <v>284</v>
      </c>
      <c r="C305" s="5">
        <v>0</v>
      </c>
      <c r="D305" s="5">
        <v>0</v>
      </c>
      <c r="E305" s="5">
        <v>0</v>
      </c>
      <c r="F305" s="5">
        <v>0</v>
      </c>
      <c r="G305" s="1">
        <f t="shared" si="5"/>
        <v>0</v>
      </c>
    </row>
    <row r="306" spans="1:7" x14ac:dyDescent="0.35">
      <c r="A306" s="7">
        <f t="shared" si="6"/>
        <v>0</v>
      </c>
      <c r="B306" s="1">
        <v>285</v>
      </c>
      <c r="C306" s="5">
        <v>0</v>
      </c>
      <c r="D306" s="5">
        <v>0</v>
      </c>
      <c r="E306" s="5">
        <v>0</v>
      </c>
      <c r="F306" s="5">
        <v>0</v>
      </c>
      <c r="G306" s="1">
        <f t="shared" si="5"/>
        <v>0</v>
      </c>
    </row>
    <row r="307" spans="1:7" x14ac:dyDescent="0.35">
      <c r="A307" s="7">
        <f t="shared" si="6"/>
        <v>0</v>
      </c>
      <c r="B307" s="1">
        <v>286</v>
      </c>
      <c r="C307" s="5">
        <v>0</v>
      </c>
      <c r="D307" s="5">
        <v>0</v>
      </c>
      <c r="E307" s="5">
        <v>0</v>
      </c>
      <c r="F307" s="5">
        <v>0</v>
      </c>
      <c r="G307" s="1">
        <f t="shared" si="5"/>
        <v>0</v>
      </c>
    </row>
    <row r="308" spans="1:7" x14ac:dyDescent="0.35">
      <c r="A308" s="7">
        <f t="shared" si="6"/>
        <v>0</v>
      </c>
      <c r="B308" s="1">
        <v>287</v>
      </c>
      <c r="C308" s="5">
        <v>0</v>
      </c>
      <c r="D308" s="5">
        <v>0</v>
      </c>
      <c r="E308" s="5">
        <v>0</v>
      </c>
      <c r="F308" s="5">
        <v>0</v>
      </c>
      <c r="G308" s="1">
        <f t="shared" si="5"/>
        <v>0</v>
      </c>
    </row>
    <row r="309" spans="1:7" x14ac:dyDescent="0.35">
      <c r="A309" s="7">
        <f t="shared" si="6"/>
        <v>0</v>
      </c>
      <c r="B309" s="1">
        <v>288</v>
      </c>
      <c r="C309" s="5">
        <v>0</v>
      </c>
      <c r="D309" s="5">
        <v>0</v>
      </c>
      <c r="E309" s="5">
        <v>0</v>
      </c>
      <c r="F309" s="5">
        <v>0</v>
      </c>
      <c r="G309" s="1">
        <f t="shared" si="5"/>
        <v>0</v>
      </c>
    </row>
    <row r="310" spans="1:7" x14ac:dyDescent="0.35">
      <c r="A310" s="7">
        <f t="shared" si="6"/>
        <v>0</v>
      </c>
      <c r="B310" s="1">
        <v>289</v>
      </c>
      <c r="C310" s="5">
        <v>0</v>
      </c>
      <c r="D310" s="5">
        <v>0</v>
      </c>
      <c r="E310" s="5">
        <v>0</v>
      </c>
      <c r="F310" s="5">
        <v>0</v>
      </c>
      <c r="G310" s="1">
        <f t="shared" si="5"/>
        <v>0</v>
      </c>
    </row>
    <row r="311" spans="1:7" x14ac:dyDescent="0.35">
      <c r="A311" s="7">
        <f t="shared" si="6"/>
        <v>0</v>
      </c>
      <c r="B311" s="1">
        <v>290</v>
      </c>
      <c r="C311" s="5">
        <v>0</v>
      </c>
      <c r="D311" s="5">
        <v>0</v>
      </c>
      <c r="E311" s="5">
        <v>0</v>
      </c>
      <c r="F311" s="5">
        <v>0</v>
      </c>
      <c r="G311" s="1">
        <f t="shared" si="5"/>
        <v>0</v>
      </c>
    </row>
    <row r="312" spans="1:7" x14ac:dyDescent="0.35">
      <c r="A312" s="7">
        <f t="shared" si="6"/>
        <v>0</v>
      </c>
      <c r="B312" s="1">
        <v>291</v>
      </c>
      <c r="C312" s="5">
        <v>0</v>
      </c>
      <c r="D312" s="5">
        <v>0</v>
      </c>
      <c r="E312" s="5">
        <v>0</v>
      </c>
      <c r="F312" s="5">
        <v>0</v>
      </c>
      <c r="G312" s="1">
        <f t="shared" si="5"/>
        <v>0</v>
      </c>
    </row>
    <row r="313" spans="1:7" x14ac:dyDescent="0.35">
      <c r="A313" s="7">
        <f t="shared" si="6"/>
        <v>0</v>
      </c>
      <c r="B313" s="1">
        <v>292</v>
      </c>
      <c r="C313" s="5">
        <v>0</v>
      </c>
      <c r="D313" s="5">
        <v>0</v>
      </c>
      <c r="E313" s="5">
        <v>0</v>
      </c>
      <c r="F313" s="5">
        <v>0</v>
      </c>
      <c r="G313" s="1">
        <f t="shared" si="5"/>
        <v>0</v>
      </c>
    </row>
    <row r="314" spans="1:7" x14ac:dyDescent="0.35">
      <c r="A314" s="7">
        <f t="shared" si="6"/>
        <v>0</v>
      </c>
      <c r="B314" s="1">
        <v>293</v>
      </c>
      <c r="C314" s="5">
        <v>0</v>
      </c>
      <c r="D314" s="5">
        <v>0</v>
      </c>
      <c r="E314" s="5">
        <v>0</v>
      </c>
      <c r="F314" s="5">
        <v>0</v>
      </c>
      <c r="G314" s="1">
        <f t="shared" si="5"/>
        <v>0</v>
      </c>
    </row>
    <row r="315" spans="1:7" x14ac:dyDescent="0.35">
      <c r="A315" s="7">
        <f t="shared" si="6"/>
        <v>0</v>
      </c>
      <c r="B315" s="1">
        <v>294</v>
      </c>
      <c r="C315" s="5">
        <v>0</v>
      </c>
      <c r="D315" s="5">
        <v>0</v>
      </c>
      <c r="E315" s="5">
        <v>0</v>
      </c>
      <c r="F315" s="5">
        <v>0</v>
      </c>
      <c r="G315" s="1">
        <f t="shared" si="5"/>
        <v>0</v>
      </c>
    </row>
    <row r="316" spans="1:7" x14ac:dyDescent="0.35">
      <c r="A316" s="7">
        <f t="shared" si="6"/>
        <v>0</v>
      </c>
      <c r="B316" s="1">
        <v>295</v>
      </c>
      <c r="C316" s="5">
        <v>0</v>
      </c>
      <c r="D316" s="5">
        <v>0</v>
      </c>
      <c r="E316" s="5">
        <v>0</v>
      </c>
      <c r="F316" s="5">
        <v>0</v>
      </c>
      <c r="G316" s="1">
        <f t="shared" si="5"/>
        <v>0</v>
      </c>
    </row>
    <row r="317" spans="1:7" x14ac:dyDescent="0.35">
      <c r="A317" s="7">
        <f t="shared" si="6"/>
        <v>0</v>
      </c>
      <c r="B317" s="1">
        <v>296</v>
      </c>
      <c r="C317" s="5">
        <v>0</v>
      </c>
      <c r="D317" s="5">
        <v>0</v>
      </c>
      <c r="E317" s="5">
        <v>0</v>
      </c>
      <c r="F317" s="5">
        <v>0</v>
      </c>
      <c r="G317" s="1">
        <f t="shared" si="5"/>
        <v>0</v>
      </c>
    </row>
    <row r="318" spans="1:7" x14ac:dyDescent="0.35">
      <c r="A318" s="7">
        <f t="shared" si="6"/>
        <v>0</v>
      </c>
      <c r="B318" s="1">
        <v>297</v>
      </c>
      <c r="C318" s="5">
        <v>0</v>
      </c>
      <c r="D318" s="5">
        <v>0</v>
      </c>
      <c r="E318" s="5">
        <v>0</v>
      </c>
      <c r="F318" s="5">
        <v>0</v>
      </c>
      <c r="G318" s="1">
        <f t="shared" si="5"/>
        <v>0</v>
      </c>
    </row>
    <row r="319" spans="1:7" x14ac:dyDescent="0.35">
      <c r="A319" s="7">
        <f t="shared" si="6"/>
        <v>0</v>
      </c>
      <c r="B319" s="1">
        <v>298</v>
      </c>
      <c r="C319" s="5">
        <v>0</v>
      </c>
      <c r="D319" s="5">
        <v>0</v>
      </c>
      <c r="E319" s="5">
        <v>0</v>
      </c>
      <c r="F319" s="5">
        <v>0</v>
      </c>
      <c r="G319" s="1">
        <f t="shared" si="5"/>
        <v>0</v>
      </c>
    </row>
    <row r="320" spans="1:7" x14ac:dyDescent="0.35">
      <c r="A320" s="7">
        <f t="shared" si="6"/>
        <v>0</v>
      </c>
      <c r="B320" s="1">
        <v>299</v>
      </c>
      <c r="C320" s="5">
        <v>0</v>
      </c>
      <c r="D320" s="5">
        <v>0</v>
      </c>
      <c r="E320" s="5">
        <v>0</v>
      </c>
      <c r="F320" s="5">
        <v>0</v>
      </c>
      <c r="G320" s="1">
        <f t="shared" si="5"/>
        <v>0</v>
      </c>
    </row>
    <row r="321" spans="1:7" x14ac:dyDescent="0.35">
      <c r="A321" s="7">
        <f t="shared" si="6"/>
        <v>0</v>
      </c>
      <c r="B321" s="1">
        <v>300</v>
      </c>
      <c r="C321" s="5">
        <v>0</v>
      </c>
      <c r="D321" s="5">
        <v>0</v>
      </c>
      <c r="E321" s="5">
        <v>0</v>
      </c>
      <c r="F321" s="5">
        <v>0</v>
      </c>
      <c r="G321" s="1">
        <f t="shared" si="5"/>
        <v>0</v>
      </c>
    </row>
    <row r="322" spans="1:7" x14ac:dyDescent="0.35">
      <c r="A322" s="7">
        <f t="shared" si="6"/>
        <v>0</v>
      </c>
      <c r="B322" s="1">
        <v>301</v>
      </c>
      <c r="C322" s="5">
        <v>0</v>
      </c>
      <c r="D322" s="5">
        <v>0</v>
      </c>
      <c r="E322" s="5">
        <v>0</v>
      </c>
      <c r="F322" s="5">
        <v>0</v>
      </c>
      <c r="G322" s="1">
        <f t="shared" si="5"/>
        <v>0</v>
      </c>
    </row>
    <row r="323" spans="1:7" x14ac:dyDescent="0.35">
      <c r="A323" s="7">
        <f t="shared" si="6"/>
        <v>0</v>
      </c>
      <c r="B323" s="1">
        <v>302</v>
      </c>
      <c r="C323" s="5">
        <v>0</v>
      </c>
      <c r="D323" s="5">
        <v>0</v>
      </c>
      <c r="E323" s="5">
        <v>0</v>
      </c>
      <c r="F323" s="5">
        <v>0</v>
      </c>
      <c r="G323" s="1">
        <f t="shared" si="5"/>
        <v>0</v>
      </c>
    </row>
    <row r="324" spans="1:7" x14ac:dyDescent="0.35">
      <c r="A324" s="7">
        <f t="shared" si="6"/>
        <v>0</v>
      </c>
      <c r="B324" s="1">
        <v>303</v>
      </c>
      <c r="C324" s="5">
        <v>0</v>
      </c>
      <c r="D324" s="5">
        <v>0</v>
      </c>
      <c r="E324" s="5">
        <v>0</v>
      </c>
      <c r="F324" s="5">
        <v>0</v>
      </c>
      <c r="G324" s="1">
        <f t="shared" si="5"/>
        <v>0</v>
      </c>
    </row>
    <row r="325" spans="1:7" x14ac:dyDescent="0.35">
      <c r="A325" s="7">
        <f t="shared" si="6"/>
        <v>0</v>
      </c>
      <c r="B325" s="1">
        <v>304</v>
      </c>
      <c r="C325" s="5">
        <v>0</v>
      </c>
      <c r="D325" s="5">
        <v>0</v>
      </c>
      <c r="E325" s="5">
        <v>0</v>
      </c>
      <c r="F325" s="5">
        <v>0</v>
      </c>
      <c r="G325" s="1">
        <f t="shared" si="5"/>
        <v>0</v>
      </c>
    </row>
    <row r="326" spans="1:7" x14ac:dyDescent="0.35">
      <c r="A326" s="7">
        <f t="shared" si="6"/>
        <v>0</v>
      </c>
      <c r="B326" s="1">
        <v>305</v>
      </c>
      <c r="C326" s="5">
        <v>0</v>
      </c>
      <c r="D326" s="5">
        <v>0</v>
      </c>
      <c r="E326" s="5">
        <v>0</v>
      </c>
      <c r="F326" s="5">
        <v>0</v>
      </c>
      <c r="G326" s="1">
        <f t="shared" si="5"/>
        <v>0</v>
      </c>
    </row>
    <row r="327" spans="1:7" x14ac:dyDescent="0.35">
      <c r="A327" s="7">
        <f t="shared" si="6"/>
        <v>0</v>
      </c>
      <c r="B327" s="1">
        <v>306</v>
      </c>
      <c r="C327" s="5">
        <v>0</v>
      </c>
      <c r="D327" s="5">
        <v>0</v>
      </c>
      <c r="E327" s="5">
        <v>0</v>
      </c>
      <c r="F327" s="5">
        <v>0</v>
      </c>
      <c r="G327" s="1">
        <f t="shared" si="5"/>
        <v>0</v>
      </c>
    </row>
    <row r="328" spans="1:7" x14ac:dyDescent="0.35">
      <c r="A328" s="7">
        <f t="shared" si="6"/>
        <v>0</v>
      </c>
      <c r="B328" s="1">
        <v>307</v>
      </c>
      <c r="C328" s="5">
        <v>0</v>
      </c>
      <c r="D328" s="5">
        <v>0</v>
      </c>
      <c r="E328" s="5">
        <v>0</v>
      </c>
      <c r="F328" s="5">
        <v>0</v>
      </c>
      <c r="G328" s="1">
        <f t="shared" si="5"/>
        <v>0</v>
      </c>
    </row>
    <row r="329" spans="1:7" x14ac:dyDescent="0.35">
      <c r="A329" s="7">
        <f t="shared" si="6"/>
        <v>0</v>
      </c>
      <c r="B329" s="1">
        <v>308</v>
      </c>
      <c r="C329" s="5">
        <v>0</v>
      </c>
      <c r="D329" s="5">
        <v>0</v>
      </c>
      <c r="E329" s="5">
        <v>0</v>
      </c>
      <c r="F329" s="5">
        <v>0</v>
      </c>
      <c r="G329" s="1">
        <f t="shared" si="5"/>
        <v>0</v>
      </c>
    </row>
    <row r="330" spans="1:7" x14ac:dyDescent="0.35">
      <c r="A330" s="7">
        <f t="shared" si="6"/>
        <v>0</v>
      </c>
      <c r="B330" s="1">
        <v>309</v>
      </c>
      <c r="C330" s="5">
        <v>0</v>
      </c>
      <c r="D330" s="5">
        <v>0</v>
      </c>
      <c r="E330" s="5">
        <v>0</v>
      </c>
      <c r="F330" s="5">
        <v>0</v>
      </c>
      <c r="G330" s="1">
        <f t="shared" si="5"/>
        <v>0</v>
      </c>
    </row>
    <row r="331" spans="1:7" x14ac:dyDescent="0.35">
      <c r="A331" s="7">
        <f t="shared" si="6"/>
        <v>0</v>
      </c>
      <c r="B331" s="1">
        <v>310</v>
      </c>
      <c r="C331" s="5">
        <v>0</v>
      </c>
      <c r="D331" s="5">
        <v>0</v>
      </c>
      <c r="E331" s="5">
        <v>0</v>
      </c>
      <c r="F331" s="5">
        <v>0</v>
      </c>
      <c r="G331" s="1">
        <f t="shared" si="5"/>
        <v>0</v>
      </c>
    </row>
    <row r="332" spans="1:7" x14ac:dyDescent="0.35">
      <c r="A332" s="7">
        <f t="shared" si="6"/>
        <v>0</v>
      </c>
      <c r="B332" s="1">
        <v>311</v>
      </c>
      <c r="C332" s="5">
        <v>0</v>
      </c>
      <c r="D332" s="5">
        <v>0</v>
      </c>
      <c r="E332" s="5">
        <v>0</v>
      </c>
      <c r="F332" s="5">
        <v>0</v>
      </c>
      <c r="G332" s="1">
        <f t="shared" si="5"/>
        <v>0</v>
      </c>
    </row>
    <row r="333" spans="1:7" x14ac:dyDescent="0.35">
      <c r="A333" s="7">
        <f t="shared" si="6"/>
        <v>0</v>
      </c>
      <c r="B333" s="1">
        <v>312</v>
      </c>
      <c r="C333" s="5">
        <v>0</v>
      </c>
      <c r="D333" s="5">
        <v>0</v>
      </c>
      <c r="E333" s="5">
        <v>0</v>
      </c>
      <c r="F333" s="5">
        <v>0</v>
      </c>
      <c r="G333" s="1">
        <f t="shared" si="5"/>
        <v>0</v>
      </c>
    </row>
    <row r="334" spans="1:7" x14ac:dyDescent="0.35">
      <c r="A334" s="7">
        <f t="shared" si="6"/>
        <v>0</v>
      </c>
      <c r="B334" s="1">
        <v>313</v>
      </c>
      <c r="C334" s="5">
        <v>0</v>
      </c>
      <c r="D334" s="5">
        <v>0</v>
      </c>
      <c r="E334" s="5">
        <v>0</v>
      </c>
      <c r="F334" s="5">
        <v>0</v>
      </c>
      <c r="G334" s="1">
        <f t="shared" si="5"/>
        <v>0</v>
      </c>
    </row>
    <row r="335" spans="1:7" x14ac:dyDescent="0.35">
      <c r="A335" s="7">
        <f t="shared" si="6"/>
        <v>0</v>
      </c>
      <c r="B335" s="1">
        <v>314</v>
      </c>
      <c r="C335" s="5">
        <v>0</v>
      </c>
      <c r="D335" s="5">
        <v>0</v>
      </c>
      <c r="E335" s="5">
        <v>0</v>
      </c>
      <c r="F335" s="5">
        <v>0</v>
      </c>
      <c r="G335" s="1">
        <f t="shared" si="5"/>
        <v>0</v>
      </c>
    </row>
    <row r="336" spans="1:7" x14ac:dyDescent="0.35">
      <c r="A336" s="7">
        <f t="shared" si="6"/>
        <v>0</v>
      </c>
      <c r="B336" s="1">
        <v>315</v>
      </c>
      <c r="C336" s="5">
        <v>0</v>
      </c>
      <c r="D336" s="5">
        <v>0</v>
      </c>
      <c r="E336" s="5">
        <v>0</v>
      </c>
      <c r="F336" s="5">
        <v>0</v>
      </c>
      <c r="G336" s="1">
        <f t="shared" si="5"/>
        <v>0</v>
      </c>
    </row>
    <row r="337" spans="1:7" x14ac:dyDescent="0.35">
      <c r="A337" s="7">
        <f t="shared" si="6"/>
        <v>0</v>
      </c>
      <c r="B337" s="1">
        <v>316</v>
      </c>
      <c r="C337" s="5">
        <v>0</v>
      </c>
      <c r="D337" s="5">
        <v>0</v>
      </c>
      <c r="E337" s="5">
        <v>0</v>
      </c>
      <c r="F337" s="5">
        <v>0</v>
      </c>
      <c r="G337" s="1">
        <f t="shared" si="5"/>
        <v>0</v>
      </c>
    </row>
    <row r="338" spans="1:7" x14ac:dyDescent="0.35">
      <c r="A338" s="7">
        <f t="shared" si="6"/>
        <v>0</v>
      </c>
      <c r="B338" s="1">
        <v>317</v>
      </c>
      <c r="C338" s="5">
        <v>0</v>
      </c>
      <c r="D338" s="5">
        <v>0</v>
      </c>
      <c r="E338" s="5">
        <v>0</v>
      </c>
      <c r="F338" s="5">
        <v>0</v>
      </c>
      <c r="G338" s="1">
        <f t="shared" si="5"/>
        <v>0</v>
      </c>
    </row>
    <row r="339" spans="1:7" x14ac:dyDescent="0.35">
      <c r="A339" s="7">
        <f t="shared" si="6"/>
        <v>0</v>
      </c>
      <c r="B339" s="1">
        <v>318</v>
      </c>
      <c r="C339" s="5">
        <v>0</v>
      </c>
      <c r="D339" s="5">
        <v>0</v>
      </c>
      <c r="E339" s="5">
        <v>0</v>
      </c>
      <c r="F339" s="5">
        <v>0</v>
      </c>
      <c r="G339" s="1">
        <f t="shared" si="5"/>
        <v>0</v>
      </c>
    </row>
    <row r="340" spans="1:7" x14ac:dyDescent="0.35">
      <c r="A340" s="7">
        <f t="shared" si="6"/>
        <v>0</v>
      </c>
      <c r="B340" s="1">
        <v>319</v>
      </c>
      <c r="C340" s="5">
        <v>0</v>
      </c>
      <c r="D340" s="5">
        <v>0</v>
      </c>
      <c r="E340" s="5">
        <v>0</v>
      </c>
      <c r="F340" s="5">
        <v>0</v>
      </c>
      <c r="G340" s="1">
        <f t="shared" si="5"/>
        <v>0</v>
      </c>
    </row>
    <row r="341" spans="1:7" x14ac:dyDescent="0.35">
      <c r="A341" s="7">
        <f t="shared" si="6"/>
        <v>0</v>
      </c>
      <c r="B341" s="1">
        <v>320</v>
      </c>
      <c r="C341" s="5">
        <v>0</v>
      </c>
      <c r="D341" s="5">
        <v>0</v>
      </c>
      <c r="E341" s="5">
        <v>0</v>
      </c>
      <c r="F341" s="5">
        <v>0</v>
      </c>
      <c r="G341" s="1">
        <f t="shared" si="5"/>
        <v>0</v>
      </c>
    </row>
    <row r="342" spans="1:7" x14ac:dyDescent="0.35">
      <c r="A342" s="7">
        <f t="shared" si="6"/>
        <v>0</v>
      </c>
      <c r="B342" s="1">
        <v>321</v>
      </c>
      <c r="C342" s="5">
        <v>0</v>
      </c>
      <c r="D342" s="5">
        <v>0</v>
      </c>
      <c r="E342" s="5">
        <v>0</v>
      </c>
      <c r="F342" s="5">
        <v>0</v>
      </c>
      <c r="G342" s="1">
        <f t="shared" si="5"/>
        <v>0</v>
      </c>
    </row>
    <row r="343" spans="1:7" x14ac:dyDescent="0.35">
      <c r="A343" s="7">
        <f t="shared" si="6"/>
        <v>0</v>
      </c>
      <c r="B343" s="1">
        <v>322</v>
      </c>
      <c r="C343" s="5">
        <v>0</v>
      </c>
      <c r="D343" s="5">
        <v>0</v>
      </c>
      <c r="E343" s="5">
        <v>0</v>
      </c>
      <c r="F343" s="5">
        <v>0</v>
      </c>
      <c r="G343" s="1">
        <f t="shared" ref="G343:G381" si="7">IF(B343&gt;=$B$3,0,$B$3-B343)</f>
        <v>0</v>
      </c>
    </row>
    <row r="344" spans="1:7" x14ac:dyDescent="0.35">
      <c r="A344" s="7">
        <f t="shared" si="6"/>
        <v>0</v>
      </c>
      <c r="B344" s="1">
        <v>323</v>
      </c>
      <c r="C344" s="5">
        <v>0</v>
      </c>
      <c r="D344" s="5">
        <v>0</v>
      </c>
      <c r="E344" s="5">
        <v>0</v>
      </c>
      <c r="F344" s="5">
        <v>0</v>
      </c>
      <c r="G344" s="1">
        <f t="shared" si="7"/>
        <v>0</v>
      </c>
    </row>
    <row r="345" spans="1:7" x14ac:dyDescent="0.35">
      <c r="A345" s="7">
        <f t="shared" si="6"/>
        <v>0</v>
      </c>
      <c r="B345" s="1">
        <v>324</v>
      </c>
      <c r="C345" s="5">
        <v>0</v>
      </c>
      <c r="D345" s="5">
        <v>0</v>
      </c>
      <c r="E345" s="5">
        <v>0</v>
      </c>
      <c r="F345" s="5">
        <v>0</v>
      </c>
      <c r="G345" s="1">
        <f t="shared" si="7"/>
        <v>0</v>
      </c>
    </row>
    <row r="346" spans="1:7" x14ac:dyDescent="0.35">
      <c r="A346" s="7">
        <f t="shared" si="6"/>
        <v>0</v>
      </c>
      <c r="B346" s="1">
        <v>325</v>
      </c>
      <c r="C346" s="5">
        <v>0</v>
      </c>
      <c r="D346" s="5">
        <v>0</v>
      </c>
      <c r="E346" s="5">
        <v>0</v>
      </c>
      <c r="F346" s="5">
        <v>0</v>
      </c>
      <c r="G346" s="1">
        <f t="shared" si="7"/>
        <v>0</v>
      </c>
    </row>
    <row r="347" spans="1:7" x14ac:dyDescent="0.35">
      <c r="A347" s="7">
        <f t="shared" si="6"/>
        <v>0</v>
      </c>
      <c r="B347" s="1">
        <v>326</v>
      </c>
      <c r="C347" s="5">
        <v>0</v>
      </c>
      <c r="D347" s="5">
        <v>0</v>
      </c>
      <c r="E347" s="5">
        <v>0</v>
      </c>
      <c r="F347" s="5">
        <v>0</v>
      </c>
      <c r="G347" s="1">
        <f t="shared" si="7"/>
        <v>0</v>
      </c>
    </row>
    <row r="348" spans="1:7" x14ac:dyDescent="0.35">
      <c r="A348" s="7">
        <f t="shared" si="6"/>
        <v>0</v>
      </c>
      <c r="B348" s="1">
        <v>327</v>
      </c>
      <c r="C348" s="5">
        <v>0</v>
      </c>
      <c r="D348" s="5">
        <v>0</v>
      </c>
      <c r="E348" s="5">
        <v>0</v>
      </c>
      <c r="F348" s="5">
        <v>0</v>
      </c>
      <c r="G348" s="1">
        <f t="shared" si="7"/>
        <v>0</v>
      </c>
    </row>
    <row r="349" spans="1:7" x14ac:dyDescent="0.35">
      <c r="A349" s="7">
        <f t="shared" si="6"/>
        <v>0</v>
      </c>
      <c r="B349" s="1">
        <v>328</v>
      </c>
      <c r="C349" s="5">
        <v>0</v>
      </c>
      <c r="D349" s="5">
        <v>0</v>
      </c>
      <c r="E349" s="5">
        <v>0</v>
      </c>
      <c r="F349" s="5">
        <v>0</v>
      </c>
      <c r="G349" s="1">
        <f t="shared" si="7"/>
        <v>0</v>
      </c>
    </row>
    <row r="350" spans="1:7" x14ac:dyDescent="0.35">
      <c r="A350" s="7">
        <f t="shared" si="6"/>
        <v>0</v>
      </c>
      <c r="B350" s="1">
        <v>329</v>
      </c>
      <c r="C350" s="5">
        <v>0</v>
      </c>
      <c r="D350" s="5">
        <v>0</v>
      </c>
      <c r="E350" s="5">
        <v>0</v>
      </c>
      <c r="F350" s="5">
        <v>0</v>
      </c>
      <c r="G350" s="1">
        <f t="shared" si="7"/>
        <v>0</v>
      </c>
    </row>
    <row r="351" spans="1:7" x14ac:dyDescent="0.35">
      <c r="A351" s="7">
        <f t="shared" si="6"/>
        <v>0</v>
      </c>
      <c r="B351" s="1">
        <v>330</v>
      </c>
      <c r="C351" s="5">
        <v>0</v>
      </c>
      <c r="D351" s="5">
        <v>0</v>
      </c>
      <c r="E351" s="5">
        <v>0</v>
      </c>
      <c r="F351" s="5">
        <v>0</v>
      </c>
      <c r="G351" s="1">
        <f t="shared" si="7"/>
        <v>0</v>
      </c>
    </row>
    <row r="352" spans="1:7" x14ac:dyDescent="0.35">
      <c r="A352" s="7">
        <f t="shared" si="6"/>
        <v>0</v>
      </c>
      <c r="B352" s="1">
        <v>331</v>
      </c>
      <c r="C352" s="5">
        <v>0</v>
      </c>
      <c r="D352" s="5">
        <v>0</v>
      </c>
      <c r="E352" s="5">
        <v>0</v>
      </c>
      <c r="F352" s="5">
        <v>0</v>
      </c>
      <c r="G352" s="1">
        <f t="shared" si="7"/>
        <v>0</v>
      </c>
    </row>
    <row r="353" spans="1:7" x14ac:dyDescent="0.35">
      <c r="A353" s="7">
        <f t="shared" si="6"/>
        <v>0</v>
      </c>
      <c r="B353" s="1">
        <v>332</v>
      </c>
      <c r="C353" s="5">
        <v>0</v>
      </c>
      <c r="D353" s="5">
        <v>0</v>
      </c>
      <c r="E353" s="5">
        <v>0</v>
      </c>
      <c r="F353" s="5">
        <v>0</v>
      </c>
      <c r="G353" s="1">
        <f t="shared" si="7"/>
        <v>0</v>
      </c>
    </row>
    <row r="354" spans="1:7" x14ac:dyDescent="0.35">
      <c r="A354" s="7">
        <f t="shared" si="6"/>
        <v>0</v>
      </c>
      <c r="B354" s="1">
        <v>333</v>
      </c>
      <c r="C354" s="5">
        <v>0</v>
      </c>
      <c r="D354" s="5">
        <v>0</v>
      </c>
      <c r="E354" s="5">
        <v>0</v>
      </c>
      <c r="F354" s="5">
        <v>0</v>
      </c>
      <c r="G354" s="1">
        <f t="shared" si="7"/>
        <v>0</v>
      </c>
    </row>
    <row r="355" spans="1:7" x14ac:dyDescent="0.35">
      <c r="A355" s="7">
        <f t="shared" ref="A355:A381" si="8">IF(AND(B355&gt;$B$6,B355&lt;=$B$3),$B$4,0)</f>
        <v>0</v>
      </c>
      <c r="B355" s="1">
        <v>334</v>
      </c>
      <c r="C355" s="5">
        <v>0</v>
      </c>
      <c r="D355" s="5">
        <v>0</v>
      </c>
      <c r="E355" s="5">
        <v>0</v>
      </c>
      <c r="F355" s="5">
        <v>0</v>
      </c>
      <c r="G355" s="1">
        <f t="shared" si="7"/>
        <v>0</v>
      </c>
    </row>
    <row r="356" spans="1:7" x14ac:dyDescent="0.35">
      <c r="A356" s="7">
        <f t="shared" si="8"/>
        <v>0</v>
      </c>
      <c r="B356" s="1">
        <v>335</v>
      </c>
      <c r="C356" s="5">
        <v>0</v>
      </c>
      <c r="D356" s="5">
        <v>0</v>
      </c>
      <c r="E356" s="5">
        <v>0</v>
      </c>
      <c r="F356" s="5">
        <v>0</v>
      </c>
      <c r="G356" s="1">
        <f t="shared" si="7"/>
        <v>0</v>
      </c>
    </row>
    <row r="357" spans="1:7" x14ac:dyDescent="0.35">
      <c r="A357" s="7">
        <f t="shared" si="8"/>
        <v>0</v>
      </c>
      <c r="B357" s="1">
        <v>336</v>
      </c>
      <c r="C357" s="5">
        <v>0</v>
      </c>
      <c r="D357" s="5">
        <v>0</v>
      </c>
      <c r="E357" s="5">
        <v>0</v>
      </c>
      <c r="F357" s="5">
        <v>0</v>
      </c>
      <c r="G357" s="1">
        <f t="shared" si="7"/>
        <v>0</v>
      </c>
    </row>
    <row r="358" spans="1:7" x14ac:dyDescent="0.35">
      <c r="A358" s="7">
        <f t="shared" si="8"/>
        <v>0</v>
      </c>
      <c r="B358" s="1">
        <v>337</v>
      </c>
      <c r="C358" s="5">
        <v>0</v>
      </c>
      <c r="D358" s="5">
        <v>0</v>
      </c>
      <c r="E358" s="5">
        <v>0</v>
      </c>
      <c r="F358" s="5">
        <v>0</v>
      </c>
      <c r="G358" s="1">
        <f t="shared" si="7"/>
        <v>0</v>
      </c>
    </row>
    <row r="359" spans="1:7" x14ac:dyDescent="0.35">
      <c r="A359" s="7">
        <f t="shared" si="8"/>
        <v>0</v>
      </c>
      <c r="B359" s="1">
        <v>338</v>
      </c>
      <c r="C359" s="5">
        <v>0</v>
      </c>
      <c r="D359" s="5">
        <v>0</v>
      </c>
      <c r="E359" s="5">
        <v>0</v>
      </c>
      <c r="F359" s="5">
        <v>0</v>
      </c>
      <c r="G359" s="1">
        <f t="shared" si="7"/>
        <v>0</v>
      </c>
    </row>
    <row r="360" spans="1:7" x14ac:dyDescent="0.35">
      <c r="A360" s="7">
        <f t="shared" si="8"/>
        <v>0</v>
      </c>
      <c r="B360" s="1">
        <v>339</v>
      </c>
      <c r="C360" s="5">
        <v>0</v>
      </c>
      <c r="D360" s="5">
        <v>0</v>
      </c>
      <c r="E360" s="5">
        <v>0</v>
      </c>
      <c r="F360" s="5">
        <v>0</v>
      </c>
      <c r="G360" s="1">
        <f t="shared" si="7"/>
        <v>0</v>
      </c>
    </row>
    <row r="361" spans="1:7" x14ac:dyDescent="0.35">
      <c r="A361" s="7">
        <f t="shared" si="8"/>
        <v>0</v>
      </c>
      <c r="B361" s="1">
        <v>340</v>
      </c>
      <c r="C361" s="5">
        <v>0</v>
      </c>
      <c r="D361" s="5">
        <v>0</v>
      </c>
      <c r="E361" s="5">
        <v>0</v>
      </c>
      <c r="F361" s="5">
        <v>0</v>
      </c>
      <c r="G361" s="1">
        <f t="shared" si="7"/>
        <v>0</v>
      </c>
    </row>
    <row r="362" spans="1:7" x14ac:dyDescent="0.35">
      <c r="A362" s="7">
        <f t="shared" si="8"/>
        <v>0</v>
      </c>
      <c r="B362" s="1">
        <v>341</v>
      </c>
      <c r="C362" s="5">
        <v>0</v>
      </c>
      <c r="D362" s="5">
        <v>0</v>
      </c>
      <c r="E362" s="5">
        <v>0</v>
      </c>
      <c r="F362" s="5">
        <v>0</v>
      </c>
      <c r="G362" s="1">
        <f t="shared" si="7"/>
        <v>0</v>
      </c>
    </row>
    <row r="363" spans="1:7" x14ac:dyDescent="0.35">
      <c r="A363" s="7">
        <f t="shared" si="8"/>
        <v>0</v>
      </c>
      <c r="B363" s="1">
        <v>342</v>
      </c>
      <c r="C363" s="5">
        <v>0</v>
      </c>
      <c r="D363" s="5">
        <v>0</v>
      </c>
      <c r="E363" s="5">
        <v>0</v>
      </c>
      <c r="F363" s="5">
        <v>0</v>
      </c>
      <c r="G363" s="1">
        <f t="shared" si="7"/>
        <v>0</v>
      </c>
    </row>
    <row r="364" spans="1:7" x14ac:dyDescent="0.35">
      <c r="A364" s="7">
        <f t="shared" si="8"/>
        <v>0</v>
      </c>
      <c r="B364" s="1">
        <v>343</v>
      </c>
      <c r="C364" s="5">
        <v>0</v>
      </c>
      <c r="D364" s="5">
        <v>0</v>
      </c>
      <c r="E364" s="5">
        <v>0</v>
      </c>
      <c r="F364" s="5">
        <v>0</v>
      </c>
      <c r="G364" s="1">
        <f t="shared" si="7"/>
        <v>0</v>
      </c>
    </row>
    <row r="365" spans="1:7" x14ac:dyDescent="0.35">
      <c r="A365" s="7">
        <f t="shared" si="8"/>
        <v>0</v>
      </c>
      <c r="B365" s="1">
        <v>344</v>
      </c>
      <c r="C365" s="5">
        <v>0</v>
      </c>
      <c r="D365" s="5">
        <v>0</v>
      </c>
      <c r="E365" s="5">
        <v>0</v>
      </c>
      <c r="F365" s="5">
        <v>0</v>
      </c>
      <c r="G365" s="1">
        <f t="shared" si="7"/>
        <v>0</v>
      </c>
    </row>
    <row r="366" spans="1:7" x14ac:dyDescent="0.35">
      <c r="A366" s="7">
        <f t="shared" si="8"/>
        <v>0</v>
      </c>
      <c r="B366" s="1">
        <v>345</v>
      </c>
      <c r="C366" s="5">
        <v>0</v>
      </c>
      <c r="D366" s="5">
        <v>0</v>
      </c>
      <c r="E366" s="5">
        <v>0</v>
      </c>
      <c r="F366" s="5">
        <v>0</v>
      </c>
      <c r="G366" s="1">
        <f t="shared" si="7"/>
        <v>0</v>
      </c>
    </row>
    <row r="367" spans="1:7" x14ac:dyDescent="0.35">
      <c r="A367" s="7">
        <f t="shared" si="8"/>
        <v>0</v>
      </c>
      <c r="B367" s="1">
        <v>346</v>
      </c>
      <c r="C367" s="5">
        <v>0</v>
      </c>
      <c r="D367" s="5">
        <v>0</v>
      </c>
      <c r="E367" s="5">
        <v>0</v>
      </c>
      <c r="F367" s="5">
        <v>0</v>
      </c>
      <c r="G367" s="1">
        <f t="shared" si="7"/>
        <v>0</v>
      </c>
    </row>
    <row r="368" spans="1:7" x14ac:dyDescent="0.35">
      <c r="A368" s="7">
        <f t="shared" si="8"/>
        <v>0</v>
      </c>
      <c r="B368" s="1">
        <v>347</v>
      </c>
      <c r="C368" s="5">
        <v>0</v>
      </c>
      <c r="D368" s="5">
        <v>0</v>
      </c>
      <c r="E368" s="5">
        <v>0</v>
      </c>
      <c r="F368" s="5">
        <v>0</v>
      </c>
      <c r="G368" s="1">
        <f t="shared" si="7"/>
        <v>0</v>
      </c>
    </row>
    <row r="369" spans="1:7" x14ac:dyDescent="0.35">
      <c r="A369" s="7">
        <f t="shared" si="8"/>
        <v>0</v>
      </c>
      <c r="B369" s="1">
        <v>348</v>
      </c>
      <c r="C369" s="5">
        <v>0</v>
      </c>
      <c r="D369" s="5">
        <v>0</v>
      </c>
      <c r="E369" s="5">
        <v>0</v>
      </c>
      <c r="F369" s="5">
        <v>0</v>
      </c>
      <c r="G369" s="1">
        <f t="shared" si="7"/>
        <v>0</v>
      </c>
    </row>
    <row r="370" spans="1:7" x14ac:dyDescent="0.35">
      <c r="A370" s="7">
        <f t="shared" si="8"/>
        <v>0</v>
      </c>
      <c r="B370" s="1">
        <v>349</v>
      </c>
      <c r="C370" s="5">
        <v>0</v>
      </c>
      <c r="D370" s="5">
        <v>0</v>
      </c>
      <c r="E370" s="5">
        <v>0</v>
      </c>
      <c r="F370" s="5">
        <v>0</v>
      </c>
      <c r="G370" s="1">
        <f t="shared" si="7"/>
        <v>0</v>
      </c>
    </row>
    <row r="371" spans="1:7" x14ac:dyDescent="0.35">
      <c r="A371" s="7">
        <f t="shared" si="8"/>
        <v>0</v>
      </c>
      <c r="B371" s="1">
        <v>350</v>
      </c>
      <c r="C371" s="5">
        <v>0</v>
      </c>
      <c r="D371" s="5">
        <v>0</v>
      </c>
      <c r="E371" s="5">
        <v>0</v>
      </c>
      <c r="F371" s="5">
        <v>0</v>
      </c>
      <c r="G371" s="1">
        <f t="shared" si="7"/>
        <v>0</v>
      </c>
    </row>
    <row r="372" spans="1:7" x14ac:dyDescent="0.35">
      <c r="A372" s="7">
        <f t="shared" si="8"/>
        <v>0</v>
      </c>
      <c r="B372" s="1">
        <v>351</v>
      </c>
      <c r="C372" s="5">
        <v>0</v>
      </c>
      <c r="D372" s="5">
        <v>0</v>
      </c>
      <c r="E372" s="5">
        <v>0</v>
      </c>
      <c r="F372" s="5">
        <v>0</v>
      </c>
      <c r="G372" s="1">
        <f t="shared" si="7"/>
        <v>0</v>
      </c>
    </row>
    <row r="373" spans="1:7" x14ac:dyDescent="0.35">
      <c r="A373" s="7">
        <f t="shared" si="8"/>
        <v>0</v>
      </c>
      <c r="B373" s="1">
        <v>352</v>
      </c>
      <c r="C373" s="5">
        <v>0</v>
      </c>
      <c r="D373" s="5">
        <v>0</v>
      </c>
      <c r="E373" s="5">
        <v>0</v>
      </c>
      <c r="F373" s="5">
        <v>0</v>
      </c>
      <c r="G373" s="1">
        <f t="shared" si="7"/>
        <v>0</v>
      </c>
    </row>
    <row r="374" spans="1:7" x14ac:dyDescent="0.35">
      <c r="A374" s="7">
        <f t="shared" si="8"/>
        <v>0</v>
      </c>
      <c r="B374" s="1">
        <v>353</v>
      </c>
      <c r="C374" s="5">
        <v>0</v>
      </c>
      <c r="D374" s="5">
        <v>0</v>
      </c>
      <c r="E374" s="5">
        <v>0</v>
      </c>
      <c r="F374" s="5">
        <v>0</v>
      </c>
      <c r="G374" s="1">
        <f t="shared" si="7"/>
        <v>0</v>
      </c>
    </row>
    <row r="375" spans="1:7" x14ac:dyDescent="0.35">
      <c r="A375" s="7">
        <f t="shared" si="8"/>
        <v>0</v>
      </c>
      <c r="B375" s="1">
        <v>354</v>
      </c>
      <c r="C375" s="5">
        <v>0</v>
      </c>
      <c r="D375" s="5">
        <v>0</v>
      </c>
      <c r="E375" s="5">
        <v>0</v>
      </c>
      <c r="F375" s="5">
        <v>0</v>
      </c>
      <c r="G375" s="1">
        <f t="shared" si="7"/>
        <v>0</v>
      </c>
    </row>
    <row r="376" spans="1:7" x14ac:dyDescent="0.35">
      <c r="A376" s="7">
        <f t="shared" si="8"/>
        <v>0</v>
      </c>
      <c r="B376" s="1">
        <v>355</v>
      </c>
      <c r="C376" s="5">
        <v>0</v>
      </c>
      <c r="D376" s="5">
        <v>0</v>
      </c>
      <c r="E376" s="5">
        <v>0</v>
      </c>
      <c r="F376" s="5">
        <v>0</v>
      </c>
      <c r="G376" s="1">
        <f t="shared" si="7"/>
        <v>0</v>
      </c>
    </row>
    <row r="377" spans="1:7" x14ac:dyDescent="0.35">
      <c r="A377" s="7">
        <f t="shared" si="8"/>
        <v>0</v>
      </c>
      <c r="B377" s="1">
        <v>356</v>
      </c>
      <c r="C377" s="5">
        <v>0</v>
      </c>
      <c r="D377" s="5">
        <v>0</v>
      </c>
      <c r="E377" s="5">
        <v>0</v>
      </c>
      <c r="F377" s="5">
        <v>0</v>
      </c>
      <c r="G377" s="1">
        <f t="shared" si="7"/>
        <v>0</v>
      </c>
    </row>
    <row r="378" spans="1:7" x14ac:dyDescent="0.35">
      <c r="A378" s="7">
        <f t="shared" si="8"/>
        <v>0</v>
      </c>
      <c r="B378" s="1">
        <v>357</v>
      </c>
      <c r="C378" s="5">
        <v>0</v>
      </c>
      <c r="D378" s="5">
        <v>0</v>
      </c>
      <c r="E378" s="5">
        <v>0</v>
      </c>
      <c r="F378" s="5">
        <v>0</v>
      </c>
      <c r="G378" s="1">
        <f t="shared" si="7"/>
        <v>0</v>
      </c>
    </row>
    <row r="379" spans="1:7" x14ac:dyDescent="0.35">
      <c r="A379" s="7">
        <f t="shared" si="8"/>
        <v>0</v>
      </c>
      <c r="B379" s="1">
        <v>358</v>
      </c>
      <c r="C379" s="5">
        <v>0</v>
      </c>
      <c r="D379" s="5">
        <v>0</v>
      </c>
      <c r="E379" s="5">
        <v>0</v>
      </c>
      <c r="F379" s="5">
        <v>0</v>
      </c>
      <c r="G379" s="1">
        <f t="shared" si="7"/>
        <v>0</v>
      </c>
    </row>
    <row r="380" spans="1:7" x14ac:dyDescent="0.35">
      <c r="A380" s="7">
        <f t="shared" si="8"/>
        <v>0</v>
      </c>
      <c r="B380" s="1">
        <v>359</v>
      </c>
      <c r="C380" s="5">
        <v>0</v>
      </c>
      <c r="D380" s="5">
        <v>0</v>
      </c>
      <c r="E380" s="5">
        <v>0</v>
      </c>
      <c r="F380" s="5">
        <v>0</v>
      </c>
      <c r="G380" s="1">
        <f t="shared" si="7"/>
        <v>0</v>
      </c>
    </row>
    <row r="381" spans="1:7" x14ac:dyDescent="0.35">
      <c r="A381" s="7">
        <f t="shared" si="8"/>
        <v>0</v>
      </c>
      <c r="B381" s="1">
        <v>360</v>
      </c>
      <c r="C381" s="5">
        <v>0</v>
      </c>
      <c r="D381" s="5">
        <v>0</v>
      </c>
      <c r="E381" s="5">
        <v>0</v>
      </c>
      <c r="F381" s="5">
        <v>0</v>
      </c>
      <c r="G381" s="1">
        <f t="shared" si="7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ulateMortgage">
                <anchor moveWithCells="1" sizeWithCells="1">
                  <from>
                    <xdr:col>3</xdr:col>
                    <xdr:colOff>215900</xdr:colOff>
                    <xdr:row>1</xdr:row>
                    <xdr:rowOff>158750</xdr:rowOff>
                  </from>
                  <to>
                    <xdr:col>6</xdr:col>
                    <xdr:colOff>1009650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nazarov</dc:creator>
  <cp:lastModifiedBy>Office</cp:lastModifiedBy>
  <dcterms:created xsi:type="dcterms:W3CDTF">2015-06-05T18:19:34Z</dcterms:created>
  <dcterms:modified xsi:type="dcterms:W3CDTF">2026-10-09T12:08:54Z</dcterms:modified>
</cp:coreProperties>
</file>